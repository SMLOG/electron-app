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vwx\Desktop\"/>
    </mc:Choice>
  </mc:AlternateContent>
  <bookViews>
    <workbookView xWindow="0" yWindow="0" windowWidth="21600" windowHeight="9900" tabRatio="747" activeTab="4"/>
  </bookViews>
  <sheets>
    <sheet name="Command" sheetId="5" r:id="rId1"/>
    <sheet name="valuation" sheetId="3" r:id="rId2"/>
    <sheet name="Analysis" sheetId="7" r:id="rId3"/>
    <sheet name="Quaterly" sheetId="8" state="hidden" r:id="rId4"/>
    <sheet name="QauterlyA" sheetId="9" r:id="rId5"/>
    <sheet name="Introduction" sheetId="6" r:id="rId6"/>
    <sheet name="Source" sheetId="1" state="hidden" r:id="rId7"/>
  </sheets>
  <functionGroups builtInGroupCount="18"/>
  <definedNames>
    <definedName name="bs_Q1" comment="Q1资产负债表数据表格区">Quaterly!$B$4:$G$112</definedName>
    <definedName name="bs_Q2" comment="第二季度资产负债表">Quaterly!$I$4:$N$112</definedName>
    <definedName name="bs_Q3" comment="资产负债表，第三季度">Quaterly!$P$4:$U$112</definedName>
    <definedName name="bs_Q4" comment="资产负债表、第四季度">Quaterly!$W$4:$AB$112</definedName>
    <definedName name="bsa" comment="资产负债表原始数据区" localSheetId="6">Source!$B$3:$F$111</definedName>
    <definedName name="bsa_content_1" comment="最新资产项目数据,不含合计项目及备抵项目">Source!$C$4:$C$27,Source!$C$29:$C$35,Source!$C$40:$C$53</definedName>
    <definedName name="bsa_content_2" comment="资产负债表_负债与权益项目_不含合计科目">Source!$C$56:$C$86,Source!$C$88:$C$95,Source!$C$98:$C$107</definedName>
    <definedName name="bsa_header_1" comment="资产负债表--资产项科目-除备抵\及合计项目">Source!$B$4:$B$23,Source!$B$25:$B$31,Source!$B$36:$B$54</definedName>
    <definedName name="bsi" comment="资产负债表-增长报表" localSheetId="6">Source!$M$3:$P$111</definedName>
    <definedName name="bsp" comment="资产负债表-百分比报表" localSheetId="6">Source!$H$3:$K$111</definedName>
    <definedName name="cf_Q1" comment="现金流量表--第一季度">Quaterly!$B$166:$G$255</definedName>
    <definedName name="cf_Q2" comment="现金流量表--Q2">Quaterly!$I$166:$N$255</definedName>
    <definedName name="cf_Q3" comment="现金流量表--Q3">Quaterly!$P$166:$U$255</definedName>
    <definedName name="cf_Q4" comment="现金流量表--Q4">Quaterly!$W$166:$AB$255</definedName>
    <definedName name="cfa" comment="现金流量表原始数据区" localSheetId="6">Source!$B$162:$F$251</definedName>
    <definedName name="cfi" comment="现金流量表-增长报表" localSheetId="6">Source!$M$162:$P$251</definedName>
    <definedName name="cfp" comment="现金流量表-百分比报表" localSheetId="6">Source!$H$162:$K$251</definedName>
    <definedName name="is_Q1" comment="利润表-第一季度数据">Quaterly!$B$117:$G$161</definedName>
    <definedName name="is_Q2" comment="利润表--第二季度数据">Quaterly!$I$117:$N$161</definedName>
    <definedName name="is_Q3" comment="利润表--第三季度数据">Quaterly!$P$117:$U$161</definedName>
    <definedName name="is_Q4" comment="利润表--第四季度数据">Quaterly!$W$117:$AB$161</definedName>
    <definedName name="isa" comment="利润表原始数据区" localSheetId="6">Source!$B$114:$F$158</definedName>
    <definedName name="isi" comment="利润表-增长报表" localSheetId="6">Source!$M$114:$P$158</definedName>
    <definedName name="isp" comment="利润表-百分比报表区" localSheetId="6">Source!$H$114:$K$158</definedName>
    <definedName name="LatestPrice" comment="最新价格">Command!$E$17</definedName>
    <definedName name="LTP" comment="流通股占总股本比例">Command!$E$22</definedName>
    <definedName name="MarketCap" comment="总市值（亿元）">Command!$C$22</definedName>
    <definedName name="O_Growth1" comment="业绩增长率1: 当前，最新">Analysis!$I$91</definedName>
    <definedName name="O_Growth2" comment="业绩增长率: 3年复合">Analysis!$J$91</definedName>
    <definedName name="PB" comment="市净率">Command!$C$21</definedName>
    <definedName name="PE_LYR" comment="静态市盈率">Command!$E$18</definedName>
    <definedName name="PE_TTM" comment="动态市盈率">Command!$C$18</definedName>
    <definedName name="Period" comment="周期数">Command!$C$5</definedName>
    <definedName name="RPTYPE" comment="报表类型, 即年报或几季报">Command!$C$4</definedName>
    <definedName name="Shares" comment="总股本（亿）">Command!$E$21</definedName>
    <definedName name="Status" comment="状态条">Command!$C$6</definedName>
    <definedName name="StockCode" comment="股票代码">Command!$C$3</definedName>
    <definedName name="StockName" comment="股票名称">Command!$C$17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E18" i="5"/>
  <c r="D11" i="9"/>
  <c r="E13" i="9"/>
  <c r="D10" i="9"/>
  <c r="E6" i="9"/>
  <c r="F14" i="9"/>
  <c r="E14" i="9"/>
  <c r="D14" i="9"/>
  <c r="E7" i="9"/>
  <c r="F4" i="9"/>
  <c r="D16" i="9"/>
  <c r="D13" i="9"/>
  <c r="F10" i="9"/>
  <c r="E12" i="9"/>
  <c r="F12" i="9"/>
  <c r="F6" i="9"/>
  <c r="C16" i="9"/>
  <c r="F11" i="9"/>
  <c r="E9" i="9"/>
  <c r="F5" i="9"/>
  <c r="E15" i="9"/>
  <c r="E8" i="9"/>
  <c r="E10" i="9"/>
  <c r="F13" i="9"/>
  <c r="E11" i="9"/>
  <c r="E4" i="9"/>
  <c r="F16" i="9"/>
  <c r="F8" i="9"/>
  <c r="C14" i="9"/>
  <c r="F15" i="9"/>
  <c r="C10" i="9"/>
  <c r="F7" i="9"/>
  <c r="C11" i="9"/>
  <c r="E16" i="9"/>
  <c r="C13" i="9"/>
  <c r="F9" i="9"/>
  <c r="E5" i="9"/>
  <c r="H16" i="9" l="1"/>
  <c r="G16" i="9"/>
  <c r="M16" i="9"/>
  <c r="N16" i="9" s="1"/>
  <c r="M14" i="9"/>
  <c r="N14" i="9" s="1"/>
  <c r="G14" i="9"/>
  <c r="L14" i="9" s="1"/>
  <c r="H11" i="9"/>
  <c r="M10" i="9"/>
  <c r="N10" i="9" s="1"/>
  <c r="G10" i="9"/>
  <c r="G13" i="9"/>
  <c r="L13" i="9" s="1"/>
  <c r="M13" i="9"/>
  <c r="N13" i="9" s="1"/>
  <c r="H10" i="9"/>
  <c r="M11" i="9"/>
  <c r="N11" i="9" s="1"/>
  <c r="G11" i="9"/>
  <c r="L11" i="9" s="1"/>
  <c r="H13" i="9"/>
  <c r="H14" i="9"/>
  <c r="G98" i="7"/>
  <c r="F98" i="7"/>
  <c r="E98" i="7"/>
  <c r="D98" i="7"/>
  <c r="G95" i="7"/>
  <c r="F95" i="7"/>
  <c r="E95" i="7"/>
  <c r="D95" i="7"/>
  <c r="G94" i="7"/>
  <c r="F94" i="7"/>
  <c r="E94" i="7"/>
  <c r="D94" i="7"/>
  <c r="G93" i="7"/>
  <c r="F93" i="7"/>
  <c r="E93" i="7"/>
  <c r="D93" i="7"/>
  <c r="G96" i="7"/>
  <c r="F96" i="7"/>
  <c r="E96" i="7"/>
  <c r="D96" i="7"/>
  <c r="G97" i="7"/>
  <c r="F97" i="7"/>
  <c r="E97" i="7"/>
  <c r="D97" i="7"/>
  <c r="C12" i="9"/>
  <c r="D7" i="9"/>
  <c r="C15" i="9"/>
  <c r="D15" i="9"/>
  <c r="C8" i="9"/>
  <c r="C5" i="9"/>
  <c r="D9" i="9"/>
  <c r="D12" i="9"/>
  <c r="C9" i="9"/>
  <c r="D8" i="9"/>
  <c r="C4" i="9"/>
  <c r="D4" i="9"/>
  <c r="D5" i="9"/>
  <c r="C7" i="9"/>
  <c r="C6" i="9"/>
  <c r="D6" i="9"/>
  <c r="K10" i="9" l="1"/>
  <c r="L10" i="9"/>
  <c r="K16" i="9"/>
  <c r="L16" i="9"/>
  <c r="I10" i="9"/>
  <c r="J10" i="9" s="1"/>
  <c r="I16" i="9"/>
  <c r="J16" i="9" s="1"/>
  <c r="I11" i="9"/>
  <c r="J11" i="9" s="1"/>
  <c r="K11" i="9"/>
  <c r="K13" i="9"/>
  <c r="I13" i="9"/>
  <c r="J13" i="9" s="1"/>
  <c r="I14" i="9"/>
  <c r="J14" i="9" s="1"/>
  <c r="K14" i="9"/>
  <c r="M6" i="9"/>
  <c r="N6" i="9" s="1"/>
  <c r="M7" i="9"/>
  <c r="N7" i="9" s="1"/>
  <c r="M8" i="9"/>
  <c r="N8" i="9" s="1"/>
  <c r="M9" i="9"/>
  <c r="N9" i="9" s="1"/>
  <c r="M15" i="9"/>
  <c r="N15" i="9" s="1"/>
  <c r="M12" i="9"/>
  <c r="N12" i="9" s="1"/>
  <c r="M5" i="9"/>
  <c r="N5" i="9" s="1"/>
  <c r="G12" i="9"/>
  <c r="L12" i="9" s="1"/>
  <c r="H12" i="9"/>
  <c r="H6" i="9"/>
  <c r="H7" i="9"/>
  <c r="H8" i="9"/>
  <c r="H9" i="9"/>
  <c r="H15" i="9"/>
  <c r="H5" i="9"/>
  <c r="G15" i="9"/>
  <c r="L15" i="9" s="1"/>
  <c r="G9" i="9"/>
  <c r="L9" i="9" s="1"/>
  <c r="G8" i="9"/>
  <c r="L8" i="9" s="1"/>
  <c r="G7" i="9"/>
  <c r="L7" i="9" s="1"/>
  <c r="G6" i="9"/>
  <c r="L6" i="9" s="1"/>
  <c r="G5" i="9"/>
  <c r="L5" i="9" s="1"/>
  <c r="H93" i="7"/>
  <c r="I95" i="7"/>
  <c r="J97" i="7"/>
  <c r="J96" i="7"/>
  <c r="H98" i="7"/>
  <c r="I93" i="7"/>
  <c r="H95" i="7"/>
  <c r="J93" i="7"/>
  <c r="J98" i="7"/>
  <c r="J94" i="7"/>
  <c r="J95" i="7"/>
  <c r="I98" i="7"/>
  <c r="H94" i="7"/>
  <c r="I94" i="7"/>
  <c r="H96" i="7"/>
  <c r="I96" i="7"/>
  <c r="H97" i="7"/>
  <c r="I97" i="7"/>
  <c r="G129" i="7"/>
  <c r="F129" i="7"/>
  <c r="E129" i="7"/>
  <c r="D129" i="7"/>
  <c r="G128" i="7"/>
  <c r="F128" i="7"/>
  <c r="E128" i="7"/>
  <c r="D128" i="7"/>
  <c r="G68" i="7"/>
  <c r="F68" i="7"/>
  <c r="E68" i="7"/>
  <c r="D68" i="7"/>
  <c r="G82" i="7"/>
  <c r="F82" i="7"/>
  <c r="E82" i="7"/>
  <c r="D82" i="7"/>
  <c r="G81" i="7"/>
  <c r="F81" i="7"/>
  <c r="E81" i="7"/>
  <c r="D81" i="7"/>
  <c r="D86" i="7"/>
  <c r="E86" i="7"/>
  <c r="F86" i="7"/>
  <c r="G86" i="7"/>
  <c r="J103" i="7"/>
  <c r="G103" i="7"/>
  <c r="F103" i="7"/>
  <c r="E103" i="7"/>
  <c r="D103" i="7"/>
  <c r="J102" i="7"/>
  <c r="G102" i="7"/>
  <c r="F102" i="7"/>
  <c r="E102" i="7"/>
  <c r="D102" i="7"/>
  <c r="J104" i="7"/>
  <c r="G104" i="7"/>
  <c r="F104" i="7"/>
  <c r="E104" i="7"/>
  <c r="D104" i="7"/>
  <c r="G80" i="7"/>
  <c r="F80" i="7"/>
  <c r="E80" i="7"/>
  <c r="D80" i="7"/>
  <c r="G78" i="7"/>
  <c r="F78" i="7"/>
  <c r="E78" i="7"/>
  <c r="D78" i="7"/>
  <c r="G75" i="7"/>
  <c r="F75" i="7"/>
  <c r="E75" i="7"/>
  <c r="D75" i="7"/>
  <c r="G77" i="7"/>
  <c r="F77" i="7"/>
  <c r="E77" i="7"/>
  <c r="D77" i="7"/>
  <c r="D90" i="7"/>
  <c r="E90" i="7"/>
  <c r="F90" i="7"/>
  <c r="G90" i="7"/>
  <c r="K6" i="9" l="1"/>
  <c r="I6" i="9"/>
  <c r="J6" i="9" s="1"/>
  <c r="K12" i="9"/>
  <c r="I12" i="9"/>
  <c r="J12" i="9" s="1"/>
  <c r="K9" i="9"/>
  <c r="I9" i="9"/>
  <c r="J9" i="9" s="1"/>
  <c r="K7" i="9"/>
  <c r="I7" i="9"/>
  <c r="J7" i="9" s="1"/>
  <c r="K8" i="9"/>
  <c r="I8" i="9"/>
  <c r="J8" i="9" s="1"/>
  <c r="K15" i="9"/>
  <c r="I15" i="9"/>
  <c r="J15" i="9" s="1"/>
  <c r="K5" i="9"/>
  <c r="I5" i="9"/>
  <c r="J5" i="9" s="1"/>
  <c r="I86" i="7"/>
  <c r="H129" i="7"/>
  <c r="J86" i="7"/>
  <c r="H128" i="7"/>
  <c r="H68" i="7"/>
  <c r="H86" i="7"/>
  <c r="H81" i="7"/>
  <c r="I82" i="7"/>
  <c r="J81" i="7"/>
  <c r="J82" i="7"/>
  <c r="H82" i="7"/>
  <c r="I81" i="7"/>
  <c r="H104" i="7"/>
  <c r="I103" i="7"/>
  <c r="I102" i="7"/>
  <c r="I104" i="7"/>
  <c r="H102" i="7"/>
  <c r="H103" i="7"/>
  <c r="H80" i="7"/>
  <c r="I80" i="7"/>
  <c r="J80" i="7"/>
  <c r="H78" i="7"/>
  <c r="I90" i="7"/>
  <c r="J78" i="7"/>
  <c r="I78" i="7"/>
  <c r="I77" i="7"/>
  <c r="H90" i="7"/>
  <c r="H77" i="7"/>
  <c r="J77" i="7"/>
  <c r="J90" i="7"/>
  <c r="I75" i="7"/>
  <c r="H75" i="7"/>
  <c r="J75" i="7"/>
  <c r="G113" i="7"/>
  <c r="F113" i="7"/>
  <c r="E113" i="7"/>
  <c r="D113" i="7"/>
  <c r="G112" i="7"/>
  <c r="F112" i="7"/>
  <c r="E112" i="7"/>
  <c r="D112" i="7"/>
  <c r="F110" i="7"/>
  <c r="E110" i="7"/>
  <c r="D110" i="7"/>
  <c r="G110" i="7"/>
  <c r="I113" i="7" l="1"/>
  <c r="I112" i="7"/>
  <c r="H112" i="7"/>
  <c r="J112" i="7"/>
  <c r="J113" i="7"/>
  <c r="H113" i="7"/>
  <c r="H110" i="7"/>
  <c r="J110" i="7"/>
  <c r="I110" i="7"/>
  <c r="G64" i="7"/>
  <c r="F64" i="7"/>
  <c r="E64" i="7"/>
  <c r="D64" i="7"/>
  <c r="G63" i="7"/>
  <c r="F63" i="7"/>
  <c r="E63" i="7"/>
  <c r="D63" i="7"/>
  <c r="G62" i="7"/>
  <c r="F62" i="7"/>
  <c r="E62" i="7"/>
  <c r="D62" i="7"/>
  <c r="G61" i="7"/>
  <c r="F61" i="7"/>
  <c r="E61" i="7"/>
  <c r="D61" i="7"/>
  <c r="G57" i="7"/>
  <c r="F57" i="7"/>
  <c r="E57" i="7"/>
  <c r="D57" i="7"/>
  <c r="G59" i="7"/>
  <c r="F59" i="7"/>
  <c r="E59" i="7"/>
  <c r="D59" i="7"/>
  <c r="H59" i="7" l="1"/>
  <c r="H63" i="7"/>
  <c r="H57" i="7"/>
  <c r="H62" i="7"/>
  <c r="H61" i="7"/>
  <c r="H64" i="7"/>
  <c r="G53" i="7"/>
  <c r="F53" i="7"/>
  <c r="E53" i="7"/>
  <c r="D53" i="7"/>
  <c r="G55" i="7"/>
  <c r="F55" i="7"/>
  <c r="E55" i="7"/>
  <c r="D55" i="7"/>
  <c r="G54" i="7"/>
  <c r="F54" i="7"/>
  <c r="E54" i="7"/>
  <c r="D54" i="7"/>
  <c r="G52" i="7"/>
  <c r="F52" i="7"/>
  <c r="E52" i="7"/>
  <c r="D52" i="7"/>
  <c r="G50" i="7"/>
  <c r="F50" i="7"/>
  <c r="E50" i="7"/>
  <c r="D50" i="7"/>
  <c r="H55" i="7" l="1"/>
  <c r="H53" i="7"/>
  <c r="H54" i="7"/>
  <c r="G66" i="7"/>
  <c r="F66" i="7"/>
  <c r="E66" i="7"/>
  <c r="D66" i="7"/>
  <c r="G69" i="7" l="1"/>
  <c r="F69" i="7"/>
  <c r="E69" i="7"/>
  <c r="D69" i="7"/>
  <c r="H69" i="7" l="1"/>
  <c r="G124" i="7"/>
  <c r="F124" i="7"/>
  <c r="E124" i="7"/>
  <c r="D124" i="7"/>
  <c r="I50" i="7" l="1"/>
  <c r="H50" i="7"/>
  <c r="G41" i="7"/>
  <c r="F41" i="7"/>
  <c r="E41" i="7"/>
  <c r="D41" i="7"/>
  <c r="G108" i="7" l="1"/>
  <c r="F108" i="7"/>
  <c r="E108" i="7"/>
  <c r="D108" i="7"/>
  <c r="G73" i="7"/>
  <c r="F73" i="7"/>
  <c r="E73" i="7"/>
  <c r="D73" i="7"/>
  <c r="G46" i="7"/>
  <c r="F46" i="7"/>
  <c r="E46" i="7"/>
  <c r="D46" i="7"/>
  <c r="G32" i="7"/>
  <c r="F32" i="7"/>
  <c r="E32" i="7"/>
  <c r="D32" i="7"/>
  <c r="G18" i="7"/>
  <c r="F18" i="7"/>
  <c r="E18" i="7"/>
  <c r="D18" i="7"/>
  <c r="G6" i="7"/>
  <c r="F6" i="7"/>
  <c r="E6" i="7"/>
  <c r="D6" i="7"/>
  <c r="J50" i="7" l="1"/>
  <c r="N12" i="1" l="1"/>
  <c r="E23" i="5" l="1"/>
  <c r="C23" i="5"/>
  <c r="C3" i="7"/>
  <c r="G161" i="7"/>
  <c r="G160" i="7"/>
  <c r="G159" i="7"/>
  <c r="G158" i="7"/>
  <c r="G156" i="7"/>
  <c r="G152" i="7"/>
  <c r="G151" i="7"/>
  <c r="G150" i="7"/>
  <c r="G149" i="7"/>
  <c r="G147" i="7"/>
  <c r="G146" i="7"/>
  <c r="G145" i="7"/>
  <c r="G144" i="7"/>
  <c r="G143" i="7"/>
  <c r="G142" i="7"/>
  <c r="G138" i="7"/>
  <c r="G137" i="7"/>
  <c r="G136" i="7"/>
  <c r="G135" i="7"/>
  <c r="G133" i="7"/>
  <c r="G132" i="7"/>
  <c r="G131" i="7"/>
  <c r="G126" i="7"/>
  <c r="G125" i="7"/>
  <c r="F161" i="7"/>
  <c r="F160" i="7"/>
  <c r="F159" i="7"/>
  <c r="F158" i="7"/>
  <c r="F156" i="7"/>
  <c r="F152" i="7"/>
  <c r="F151" i="7"/>
  <c r="F150" i="7"/>
  <c r="F149" i="7"/>
  <c r="F147" i="7"/>
  <c r="F146" i="7"/>
  <c r="F145" i="7"/>
  <c r="F144" i="7"/>
  <c r="F143" i="7"/>
  <c r="F142" i="7"/>
  <c r="F138" i="7"/>
  <c r="F137" i="7"/>
  <c r="F136" i="7"/>
  <c r="F135" i="7"/>
  <c r="F133" i="7"/>
  <c r="F132" i="7"/>
  <c r="F131" i="7"/>
  <c r="F126" i="7"/>
  <c r="F125" i="7"/>
  <c r="E161" i="7"/>
  <c r="E160" i="7"/>
  <c r="E159" i="7"/>
  <c r="E158" i="7"/>
  <c r="E156" i="7"/>
  <c r="E152" i="7"/>
  <c r="E151" i="7"/>
  <c r="E150" i="7"/>
  <c r="E149" i="7"/>
  <c r="E147" i="7"/>
  <c r="E146" i="7"/>
  <c r="E145" i="7"/>
  <c r="E144" i="7"/>
  <c r="E143" i="7"/>
  <c r="E142" i="7"/>
  <c r="E138" i="7"/>
  <c r="E137" i="7"/>
  <c r="E136" i="7"/>
  <c r="E135" i="7"/>
  <c r="E133" i="7"/>
  <c r="E132" i="7"/>
  <c r="E131" i="7"/>
  <c r="E126" i="7"/>
  <c r="E125" i="7"/>
  <c r="D161" i="7"/>
  <c r="D160" i="7"/>
  <c r="D159" i="7"/>
  <c r="D158" i="7"/>
  <c r="D156" i="7"/>
  <c r="D152" i="7"/>
  <c r="D151" i="7"/>
  <c r="D150" i="7"/>
  <c r="D149" i="7"/>
  <c r="D147" i="7"/>
  <c r="D146" i="7"/>
  <c r="D144" i="7"/>
  <c r="D145" i="7"/>
  <c r="D142" i="7"/>
  <c r="D143" i="7"/>
  <c r="D138" i="7"/>
  <c r="D137" i="7"/>
  <c r="D135" i="7"/>
  <c r="D136" i="7"/>
  <c r="D133" i="7"/>
  <c r="D132" i="7"/>
  <c r="D131" i="7"/>
  <c r="G91" i="7"/>
  <c r="F91" i="7"/>
  <c r="E91" i="7"/>
  <c r="D91" i="7"/>
  <c r="D126" i="7"/>
  <c r="D125" i="7"/>
  <c r="D19" i="7"/>
  <c r="D20" i="7"/>
  <c r="D21" i="7"/>
  <c r="D22" i="7"/>
  <c r="D23" i="7"/>
  <c r="D24" i="7"/>
  <c r="D25" i="7"/>
  <c r="D26" i="7"/>
  <c r="D27" i="7"/>
  <c r="D28" i="7"/>
  <c r="D16" i="7"/>
  <c r="D15" i="7"/>
  <c r="D14" i="7"/>
  <c r="D13" i="7"/>
  <c r="D12" i="7"/>
  <c r="D11" i="7"/>
  <c r="D10" i="7"/>
  <c r="D9" i="7"/>
  <c r="D8" i="7"/>
  <c r="D7" i="7"/>
  <c r="G33" i="7"/>
  <c r="F33" i="7"/>
  <c r="E33" i="7"/>
  <c r="D33" i="7"/>
  <c r="G120" i="7"/>
  <c r="G119" i="7"/>
  <c r="G118" i="7"/>
  <c r="G117" i="7"/>
  <c r="G116" i="7"/>
  <c r="G115" i="7"/>
  <c r="G114" i="7"/>
  <c r="G111" i="7"/>
  <c r="G109" i="7"/>
  <c r="F120" i="7"/>
  <c r="F119" i="7"/>
  <c r="F118" i="7"/>
  <c r="F117" i="7"/>
  <c r="F116" i="7"/>
  <c r="F115" i="7"/>
  <c r="F114" i="7"/>
  <c r="F111" i="7"/>
  <c r="F109" i="7"/>
  <c r="E120" i="7"/>
  <c r="E119" i="7"/>
  <c r="E118" i="7"/>
  <c r="E117" i="7"/>
  <c r="E116" i="7"/>
  <c r="E115" i="7"/>
  <c r="E114" i="7"/>
  <c r="E111" i="7"/>
  <c r="E109" i="7"/>
  <c r="D119" i="7"/>
  <c r="D120" i="7"/>
  <c r="D118" i="7"/>
  <c r="D117" i="7"/>
  <c r="D116" i="7"/>
  <c r="D115" i="7"/>
  <c r="D114" i="7"/>
  <c r="D111" i="7"/>
  <c r="D109" i="7"/>
  <c r="G89" i="7"/>
  <c r="G88" i="7"/>
  <c r="G87" i="7"/>
  <c r="G85" i="7"/>
  <c r="G79" i="7"/>
  <c r="G76" i="7"/>
  <c r="G74" i="7"/>
  <c r="F89" i="7"/>
  <c r="F88" i="7"/>
  <c r="F87" i="7"/>
  <c r="F85" i="7"/>
  <c r="F79" i="7"/>
  <c r="F76" i="7"/>
  <c r="F74" i="7"/>
  <c r="E89" i="7"/>
  <c r="E88" i="7"/>
  <c r="E87" i="7"/>
  <c r="E85" i="7"/>
  <c r="E79" i="7"/>
  <c r="E76" i="7"/>
  <c r="E74" i="7"/>
  <c r="G49" i="7"/>
  <c r="G48" i="7"/>
  <c r="G47" i="7"/>
  <c r="G44" i="7"/>
  <c r="G43" i="7"/>
  <c r="G42" i="7"/>
  <c r="G39" i="7"/>
  <c r="G38" i="7"/>
  <c r="G37" i="7"/>
  <c r="G36" i="7"/>
  <c r="G35" i="7"/>
  <c r="G34" i="7"/>
  <c r="F49" i="7"/>
  <c r="F48" i="7"/>
  <c r="F47" i="7"/>
  <c r="F44" i="7"/>
  <c r="F43" i="7"/>
  <c r="F42" i="7"/>
  <c r="F39" i="7"/>
  <c r="F38" i="7"/>
  <c r="F37" i="7"/>
  <c r="F36" i="7"/>
  <c r="F35" i="7"/>
  <c r="F34" i="7"/>
  <c r="E49" i="7"/>
  <c r="E48" i="7"/>
  <c r="E47" i="7"/>
  <c r="E44" i="7"/>
  <c r="E43" i="7"/>
  <c r="E42" i="7"/>
  <c r="E39" i="7"/>
  <c r="E38" i="7"/>
  <c r="E37" i="7"/>
  <c r="E36" i="7"/>
  <c r="E35" i="7"/>
  <c r="E34" i="7"/>
  <c r="D79" i="7"/>
  <c r="D89" i="7"/>
  <c r="D88" i="7"/>
  <c r="D87" i="7"/>
  <c r="D85" i="7"/>
  <c r="D76" i="7"/>
  <c r="D74" i="7"/>
  <c r="D49" i="7"/>
  <c r="D48" i="7"/>
  <c r="D35" i="7"/>
  <c r="D47" i="7"/>
  <c r="D44" i="7"/>
  <c r="D43" i="7"/>
  <c r="D42" i="7"/>
  <c r="D39" i="7"/>
  <c r="D38" i="7"/>
  <c r="D37" i="7"/>
  <c r="D36" i="7"/>
  <c r="D34" i="7"/>
  <c r="H135" i="7" l="1"/>
  <c r="D56" i="7"/>
  <c r="E56" i="7"/>
  <c r="E58" i="7" s="1"/>
  <c r="E60" i="7" s="1"/>
  <c r="E65" i="7" s="1"/>
  <c r="F56" i="7"/>
  <c r="F58" i="7" s="1"/>
  <c r="F60" i="7" s="1"/>
  <c r="F65" i="7" s="1"/>
  <c r="G56" i="7"/>
  <c r="G58" i="7" s="1"/>
  <c r="G60" i="7" s="1"/>
  <c r="G65" i="7" s="1"/>
  <c r="H132" i="7"/>
  <c r="H137" i="7"/>
  <c r="H125" i="7"/>
  <c r="H126" i="7"/>
  <c r="H133" i="7"/>
  <c r="H138" i="7"/>
  <c r="H136" i="7"/>
  <c r="H131" i="7"/>
  <c r="G67" i="7"/>
  <c r="E67" i="7"/>
  <c r="J49" i="7"/>
  <c r="C7" i="7"/>
  <c r="E7" i="7" s="1"/>
  <c r="I7" i="7" s="1"/>
  <c r="C11" i="7"/>
  <c r="C8" i="7"/>
  <c r="C16" i="7"/>
  <c r="C21" i="7"/>
  <c r="E21" i="7" s="1"/>
  <c r="I21" i="7" s="1"/>
  <c r="C9" i="7"/>
  <c r="C13" i="7"/>
  <c r="C28" i="7"/>
  <c r="G28" i="7" s="1"/>
  <c r="C20" i="7"/>
  <c r="G20" i="7" s="1"/>
  <c r="C15" i="7"/>
  <c r="C26" i="7"/>
  <c r="F26" i="7" s="1"/>
  <c r="C12" i="7"/>
  <c r="C25" i="7"/>
  <c r="E25" i="7" s="1"/>
  <c r="J25" i="7" s="1"/>
  <c r="C10" i="7"/>
  <c r="C14" i="7"/>
  <c r="C27" i="7"/>
  <c r="E27" i="7" s="1"/>
  <c r="I27" i="7" s="1"/>
  <c r="C23" i="7"/>
  <c r="F23" i="7" s="1"/>
  <c r="C19" i="7"/>
  <c r="D67" i="7"/>
  <c r="H67" i="7" s="1"/>
  <c r="F67" i="7"/>
  <c r="C22" i="7"/>
  <c r="F22" i="7" s="1"/>
  <c r="C24" i="7"/>
  <c r="F24" i="7" s="1"/>
  <c r="J47" i="7"/>
  <c r="J48" i="7"/>
  <c r="F127" i="7"/>
  <c r="E127" i="7"/>
  <c r="E139" i="7"/>
  <c r="G139" i="7"/>
  <c r="G154" i="7"/>
  <c r="D154" i="7"/>
  <c r="E153" i="7"/>
  <c r="E155" i="7" s="1"/>
  <c r="F153" i="7"/>
  <c r="F155" i="7" s="1"/>
  <c r="G153" i="7"/>
  <c r="G155" i="7" s="1"/>
  <c r="D139" i="7"/>
  <c r="G127" i="7"/>
  <c r="E134" i="7"/>
  <c r="E154" i="7"/>
  <c r="F134" i="7"/>
  <c r="F154" i="7"/>
  <c r="G134" i="7"/>
  <c r="D153" i="7"/>
  <c r="D155" i="7" s="1"/>
  <c r="F139" i="7"/>
  <c r="D127" i="7"/>
  <c r="H22" i="7"/>
  <c r="D134" i="7"/>
  <c r="H26" i="7"/>
  <c r="H19" i="7"/>
  <c r="H25" i="7"/>
  <c r="H21" i="7"/>
  <c r="H91" i="7"/>
  <c r="H24" i="7"/>
  <c r="J91" i="7"/>
  <c r="H28" i="7"/>
  <c r="H20" i="7"/>
  <c r="I91" i="7"/>
  <c r="C19" i="5" s="1"/>
  <c r="J120" i="7"/>
  <c r="H27" i="7"/>
  <c r="H23" i="7"/>
  <c r="H116" i="7"/>
  <c r="J109" i="7"/>
  <c r="J33" i="7"/>
  <c r="H7" i="7"/>
  <c r="H15" i="7"/>
  <c r="H11" i="7"/>
  <c r="H10" i="7"/>
  <c r="H14" i="7"/>
  <c r="H13" i="7"/>
  <c r="H9" i="7"/>
  <c r="H16" i="7"/>
  <c r="H12" i="7"/>
  <c r="H8" i="7"/>
  <c r="I34" i="7"/>
  <c r="H79" i="7"/>
  <c r="J87" i="7"/>
  <c r="H76" i="7"/>
  <c r="I114" i="7"/>
  <c r="I118" i="7"/>
  <c r="J38" i="7"/>
  <c r="J43" i="7"/>
  <c r="H88" i="7"/>
  <c r="H74" i="7"/>
  <c r="I48" i="7"/>
  <c r="H35" i="7"/>
  <c r="H39" i="7"/>
  <c r="H44" i="7"/>
  <c r="H85" i="7"/>
  <c r="H89" i="7"/>
  <c r="J115" i="7"/>
  <c r="H114" i="7"/>
  <c r="H118" i="7"/>
  <c r="J116" i="7"/>
  <c r="J119" i="7"/>
  <c r="I119" i="7"/>
  <c r="I37" i="7"/>
  <c r="I42" i="7"/>
  <c r="H87" i="7"/>
  <c r="H111" i="7"/>
  <c r="H117" i="7"/>
  <c r="H33" i="7"/>
  <c r="I33" i="7"/>
  <c r="H42" i="7"/>
  <c r="H109" i="7"/>
  <c r="I120" i="7"/>
  <c r="H119" i="7"/>
  <c r="J117" i="7"/>
  <c r="I116" i="7"/>
  <c r="H115" i="7"/>
  <c r="J111" i="7"/>
  <c r="I44" i="7"/>
  <c r="H36" i="7"/>
  <c r="J42" i="7"/>
  <c r="I109" i="7"/>
  <c r="H120" i="7"/>
  <c r="J118" i="7"/>
  <c r="I117" i="7"/>
  <c r="J114" i="7"/>
  <c r="I111" i="7"/>
  <c r="I115" i="7"/>
  <c r="I39" i="7"/>
  <c r="I85" i="7"/>
  <c r="I89" i="7"/>
  <c r="H41" i="7"/>
  <c r="H47" i="7"/>
  <c r="I35" i="7"/>
  <c r="I74" i="7"/>
  <c r="H48" i="7"/>
  <c r="H37" i="7"/>
  <c r="J37" i="7"/>
  <c r="J76" i="7"/>
  <c r="H34" i="7"/>
  <c r="I49" i="7"/>
  <c r="I47" i="7"/>
  <c r="I43" i="7"/>
  <c r="I41" i="7"/>
  <c r="I38" i="7"/>
  <c r="I36" i="7"/>
  <c r="J34" i="7"/>
  <c r="J41" i="7"/>
  <c r="J36" i="7"/>
  <c r="J74" i="7"/>
  <c r="J88" i="7"/>
  <c r="I87" i="7"/>
  <c r="J79" i="7"/>
  <c r="I76" i="7"/>
  <c r="H49" i="7"/>
  <c r="H43" i="7"/>
  <c r="H38" i="7"/>
  <c r="J44" i="7"/>
  <c r="J39" i="7"/>
  <c r="J35" i="7"/>
  <c r="J89" i="7"/>
  <c r="I88" i="7"/>
  <c r="J85" i="7"/>
  <c r="I79" i="7"/>
  <c r="C3" i="3"/>
  <c r="C6" i="3"/>
  <c r="E5" i="3"/>
  <c r="D58" i="7" l="1"/>
  <c r="H56" i="7"/>
  <c r="G7" i="7"/>
  <c r="H66" i="7"/>
  <c r="H139" i="7"/>
  <c r="H134" i="7"/>
  <c r="H127" i="7"/>
  <c r="G23" i="7"/>
  <c r="E24" i="7"/>
  <c r="J24" i="7" s="1"/>
  <c r="G22" i="7"/>
  <c r="F27" i="7"/>
  <c r="G24" i="7"/>
  <c r="E23" i="7"/>
  <c r="I23" i="7" s="1"/>
  <c r="G27" i="7"/>
  <c r="J27" i="7"/>
  <c r="J21" i="7"/>
  <c r="J7" i="7"/>
  <c r="I25" i="7"/>
  <c r="E22" i="7"/>
  <c r="E19" i="5"/>
  <c r="C4" i="3"/>
  <c r="C20" i="5"/>
  <c r="E20" i="5"/>
  <c r="G26" i="7"/>
  <c r="E26" i="7"/>
  <c r="G21" i="7"/>
  <c r="F21" i="7"/>
  <c r="F28" i="7"/>
  <c r="E28" i="7"/>
  <c r="G25" i="7"/>
  <c r="F25" i="7"/>
  <c r="F20" i="7"/>
  <c r="E20" i="7"/>
  <c r="E19" i="7"/>
  <c r="G19" i="7"/>
  <c r="F19" i="7"/>
  <c r="F7" i="7"/>
  <c r="G11" i="7"/>
  <c r="F11" i="7"/>
  <c r="E11" i="7"/>
  <c r="F13" i="7"/>
  <c r="E13" i="7"/>
  <c r="G13" i="7"/>
  <c r="G16" i="7"/>
  <c r="E16" i="7"/>
  <c r="F16" i="7"/>
  <c r="F14" i="7"/>
  <c r="G14" i="7"/>
  <c r="E14" i="7"/>
  <c r="G8" i="7"/>
  <c r="E8" i="7"/>
  <c r="F8" i="7"/>
  <c r="F9" i="7"/>
  <c r="E9" i="7"/>
  <c r="G9" i="7"/>
  <c r="F10" i="7"/>
  <c r="G10" i="7"/>
  <c r="E10" i="7"/>
  <c r="G15" i="7"/>
  <c r="F15" i="7"/>
  <c r="E15" i="7"/>
  <c r="G12" i="7"/>
  <c r="E12" i="7"/>
  <c r="F12" i="7"/>
  <c r="D60" i="7" l="1"/>
  <c r="H58" i="7"/>
  <c r="I24" i="7"/>
  <c r="J23" i="7"/>
  <c r="I16" i="7"/>
  <c r="J16" i="7"/>
  <c r="J28" i="7"/>
  <c r="I28" i="7"/>
  <c r="I12" i="7"/>
  <c r="J12" i="7"/>
  <c r="J22" i="7"/>
  <c r="I22" i="7"/>
  <c r="J15" i="7"/>
  <c r="I15" i="7"/>
  <c r="I14" i="7"/>
  <c r="J14" i="7"/>
  <c r="J20" i="7"/>
  <c r="I20" i="7"/>
  <c r="J26" i="7"/>
  <c r="I26" i="7"/>
  <c r="J11" i="7"/>
  <c r="I11" i="7"/>
  <c r="I8" i="7"/>
  <c r="J8" i="7"/>
  <c r="J10" i="7"/>
  <c r="I10" i="7"/>
  <c r="J9" i="7"/>
  <c r="I9" i="7"/>
  <c r="I13" i="7"/>
  <c r="J13" i="7"/>
  <c r="J19" i="7"/>
  <c r="I19" i="7"/>
  <c r="C13" i="3"/>
  <c r="F15" i="3"/>
  <c r="E15" i="3"/>
  <c r="D15" i="3"/>
  <c r="C15" i="3"/>
  <c r="C14" i="3"/>
  <c r="D65" i="7" l="1"/>
  <c r="H65" i="7" s="1"/>
  <c r="H60" i="7"/>
  <c r="N5" i="1"/>
  <c r="N6" i="1"/>
  <c r="N7" i="1"/>
  <c r="N8" i="1"/>
  <c r="N9" i="1"/>
  <c r="N10" i="1"/>
  <c r="N11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4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15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163" i="1"/>
  <c r="D6" i="3" l="1"/>
  <c r="E6" i="3"/>
  <c r="F6" i="3"/>
  <c r="C16" i="3"/>
  <c r="C20" i="3" s="1"/>
  <c r="F16" i="3"/>
  <c r="F20" i="3" s="1"/>
  <c r="D16" i="3"/>
  <c r="D20" i="3" s="1"/>
  <c r="E16" i="3"/>
  <c r="E20" i="3" s="1"/>
  <c r="D19" i="3" l="1"/>
  <c r="D18" i="3"/>
  <c r="D17" i="3"/>
  <c r="E19" i="3"/>
  <c r="E18" i="3"/>
  <c r="E17" i="3"/>
  <c r="F19" i="3"/>
  <c r="F18" i="3"/>
  <c r="F17" i="3"/>
  <c r="C18" i="3"/>
  <c r="C19" i="3"/>
  <c r="C17" i="3"/>
  <c r="C5" i="3"/>
  <c r="D7" i="3" l="1"/>
  <c r="D8" i="3" s="1"/>
  <c r="C7" i="3"/>
  <c r="F7" i="3"/>
  <c r="E7" i="3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163" i="1"/>
  <c r="P163" i="1"/>
  <c r="O162" i="1"/>
  <c r="P162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15" i="1"/>
  <c r="P114" i="1"/>
  <c r="O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14" i="1"/>
  <c r="O4" i="1"/>
  <c r="P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3" i="1"/>
  <c r="P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3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I162" i="1"/>
  <c r="J162" i="1"/>
  <c r="K162" i="1"/>
  <c r="H162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14" i="1"/>
  <c r="I114" i="1"/>
  <c r="J114" i="1"/>
  <c r="K114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K3" i="1"/>
  <c r="J3" i="1"/>
  <c r="I3" i="1"/>
  <c r="E8" i="3" l="1"/>
  <c r="E11" i="3"/>
  <c r="F10" i="3"/>
  <c r="F11" i="3"/>
  <c r="D9" i="3"/>
  <c r="D11" i="3"/>
  <c r="C9" i="3"/>
  <c r="C11" i="3"/>
  <c r="F8" i="3"/>
  <c r="F9" i="3"/>
  <c r="E10" i="3"/>
  <c r="C10" i="3"/>
  <c r="C8" i="3"/>
  <c r="E9" i="3"/>
  <c r="D10" i="3"/>
</calcChain>
</file>

<file path=xl/sharedStrings.xml><?xml version="1.0" encoding="utf-8"?>
<sst xmlns="http://schemas.openxmlformats.org/spreadsheetml/2006/main" count="1786" uniqueCount="787">
  <si>
    <t>股票代码</t>
    <phoneticPr fontId="1" type="noConversion"/>
  </si>
  <si>
    <t>资产负债表（百分比）</t>
    <phoneticPr fontId="1" type="noConversion"/>
  </si>
  <si>
    <t>利润表（百分比）</t>
    <phoneticPr fontId="1" type="noConversion"/>
  </si>
  <si>
    <t>现金流量表（各科目/经营性现金流量净额）</t>
    <phoneticPr fontId="1" type="noConversion"/>
  </si>
  <si>
    <t>资产负债表-增长分析</t>
    <phoneticPr fontId="1" type="noConversion"/>
  </si>
  <si>
    <t>三期复合</t>
    <phoneticPr fontId="1" type="noConversion"/>
  </si>
  <si>
    <t>利润表-增长分析</t>
    <phoneticPr fontId="1" type="noConversion"/>
  </si>
  <si>
    <t>现金流量增长分析</t>
    <phoneticPr fontId="1" type="noConversion"/>
  </si>
  <si>
    <t>三年复合</t>
    <phoneticPr fontId="1" type="noConversion"/>
  </si>
  <si>
    <t>资产负债表(ref:bsa)</t>
    <phoneticPr fontId="1" type="noConversion"/>
  </si>
  <si>
    <t>利润表(ref:isa)</t>
    <phoneticPr fontId="1" type="noConversion"/>
  </si>
  <si>
    <t>现金流量表(ref:cfa)</t>
    <phoneticPr fontId="1" type="noConversion"/>
  </si>
  <si>
    <t>简码</t>
    <phoneticPr fontId="1" type="noConversion"/>
  </si>
  <si>
    <t>ast01</t>
    <phoneticPr fontId="1" type="noConversion"/>
  </si>
  <si>
    <t>ast02</t>
    <phoneticPr fontId="1" type="noConversion"/>
  </si>
  <si>
    <t>ast03</t>
    <phoneticPr fontId="1" type="noConversion"/>
  </si>
  <si>
    <t>ast04</t>
    <phoneticPr fontId="1" type="noConversion"/>
  </si>
  <si>
    <t>ast05</t>
    <phoneticPr fontId="1" type="noConversion"/>
  </si>
  <si>
    <t>ast06</t>
    <phoneticPr fontId="1" type="noConversion"/>
  </si>
  <si>
    <t>ast07</t>
    <phoneticPr fontId="1" type="noConversion"/>
  </si>
  <si>
    <t>ast08</t>
    <phoneticPr fontId="1" type="noConversion"/>
  </si>
  <si>
    <t>ast09</t>
    <phoneticPr fontId="1" type="noConversion"/>
  </si>
  <si>
    <t>ast10</t>
  </si>
  <si>
    <t>ast11</t>
  </si>
  <si>
    <t>ast12</t>
  </si>
  <si>
    <t>ast13</t>
  </si>
  <si>
    <t>ast14</t>
  </si>
  <si>
    <t>ast15</t>
  </si>
  <si>
    <t>ast16</t>
  </si>
  <si>
    <t>ast17</t>
  </si>
  <si>
    <t>ast18</t>
  </si>
  <si>
    <t>ast19</t>
  </si>
  <si>
    <t>ast20</t>
  </si>
  <si>
    <t>ast21</t>
  </si>
  <si>
    <t>ast22</t>
  </si>
  <si>
    <t>ast23</t>
  </si>
  <si>
    <t>ast24</t>
  </si>
  <si>
    <t>ast25</t>
  </si>
  <si>
    <t>ast26</t>
  </si>
  <si>
    <t>ast27</t>
  </si>
  <si>
    <t>ast28</t>
  </si>
  <si>
    <t>ast29</t>
  </si>
  <si>
    <t>ast30</t>
  </si>
  <si>
    <t>ast31</t>
  </si>
  <si>
    <t>ast32</t>
  </si>
  <si>
    <t>ast33</t>
  </si>
  <si>
    <t>ast34</t>
  </si>
  <si>
    <t>ast35</t>
  </si>
  <si>
    <t>ast36</t>
  </si>
  <si>
    <t>ast37</t>
  </si>
  <si>
    <t>ast38</t>
  </si>
  <si>
    <t>ast39</t>
  </si>
  <si>
    <t>ast40</t>
  </si>
  <si>
    <t>ast41</t>
  </si>
  <si>
    <t>ast42</t>
  </si>
  <si>
    <t>ast43</t>
  </si>
  <si>
    <t>ast44</t>
  </si>
  <si>
    <t>ast45</t>
  </si>
  <si>
    <t>ast46</t>
  </si>
  <si>
    <t>ast47</t>
  </si>
  <si>
    <t>ast48</t>
  </si>
  <si>
    <t>ast49</t>
  </si>
  <si>
    <t>ast50</t>
  </si>
  <si>
    <t>ast51</t>
  </si>
  <si>
    <t>t_ast</t>
    <phoneticPr fontId="1" type="noConversion"/>
  </si>
  <si>
    <t>lbt01</t>
    <phoneticPr fontId="1" type="noConversion"/>
  </si>
  <si>
    <t>lbt02</t>
    <phoneticPr fontId="1" type="noConversion"/>
  </si>
  <si>
    <t>lbt03</t>
    <phoneticPr fontId="1" type="noConversion"/>
  </si>
  <si>
    <t>lbt04</t>
  </si>
  <si>
    <t>lbt05</t>
  </si>
  <si>
    <t>lbt06</t>
  </si>
  <si>
    <t>lbt07</t>
  </si>
  <si>
    <t>lbt08</t>
  </si>
  <si>
    <t>lbt09</t>
  </si>
  <si>
    <t>lbt10</t>
  </si>
  <si>
    <t>lbt11</t>
  </si>
  <si>
    <t>lbt12</t>
  </si>
  <si>
    <t>lbt13</t>
  </si>
  <si>
    <t>lbt14</t>
  </si>
  <si>
    <t>lbt15</t>
  </si>
  <si>
    <t>lbt16</t>
  </si>
  <si>
    <t>lbt17</t>
  </si>
  <si>
    <t>lbt18</t>
  </si>
  <si>
    <t>lbt19</t>
  </si>
  <si>
    <t>lbt20</t>
  </si>
  <si>
    <t>lbt21</t>
  </si>
  <si>
    <t>lbt22</t>
  </si>
  <si>
    <t>lbt23</t>
  </si>
  <si>
    <t>lbt24</t>
  </si>
  <si>
    <t>lbt25</t>
  </si>
  <si>
    <t>lbt26</t>
  </si>
  <si>
    <t>lbt27</t>
  </si>
  <si>
    <t>lbt28</t>
  </si>
  <si>
    <t>lbt29</t>
  </si>
  <si>
    <t>lbt30</t>
  </si>
  <si>
    <t>lbt31</t>
  </si>
  <si>
    <t>lbt32</t>
  </si>
  <si>
    <t>lbt33</t>
  </si>
  <si>
    <t>lbt34</t>
  </si>
  <si>
    <t>lbt35</t>
  </si>
  <si>
    <t>lbt36</t>
  </si>
  <si>
    <t>lbt37</t>
  </si>
  <si>
    <t>lbt38</t>
  </si>
  <si>
    <t>lbt39</t>
  </si>
  <si>
    <t>lbt40</t>
  </si>
  <si>
    <t>lbt41</t>
  </si>
  <si>
    <t>t_lbt</t>
    <phoneticPr fontId="1" type="noConversion"/>
  </si>
  <si>
    <t>eqt01</t>
    <phoneticPr fontId="1" type="noConversion"/>
  </si>
  <si>
    <t>eqt02</t>
    <phoneticPr fontId="1" type="noConversion"/>
  </si>
  <si>
    <t>eqt03</t>
    <phoneticPr fontId="1" type="noConversion"/>
  </si>
  <si>
    <t>eqt04</t>
  </si>
  <si>
    <t>eqt05</t>
  </si>
  <si>
    <t>eqt06</t>
  </si>
  <si>
    <t>eqt07</t>
  </si>
  <si>
    <t>eqt08</t>
  </si>
  <si>
    <t>eqt09</t>
  </si>
  <si>
    <t>eqt10</t>
  </si>
  <si>
    <t>eqt11</t>
  </si>
  <si>
    <t>eqt12</t>
  </si>
  <si>
    <t>eqt13</t>
  </si>
  <si>
    <t>t_eqt</t>
    <phoneticPr fontId="1" type="noConversion"/>
  </si>
  <si>
    <t>iss01</t>
    <phoneticPr fontId="1" type="noConversion"/>
  </si>
  <si>
    <t>iss02</t>
    <phoneticPr fontId="1" type="noConversion"/>
  </si>
  <si>
    <t>iss03</t>
    <phoneticPr fontId="1" type="noConversion"/>
  </si>
  <si>
    <t>iss04</t>
  </si>
  <si>
    <t>iss05</t>
  </si>
  <si>
    <t>iss06</t>
  </si>
  <si>
    <t>iss07</t>
  </si>
  <si>
    <t>iss08</t>
  </si>
  <si>
    <t>iss09</t>
  </si>
  <si>
    <t>iss10</t>
  </si>
  <si>
    <t>iss11</t>
  </si>
  <si>
    <t>iss12</t>
  </si>
  <si>
    <t>iss13</t>
  </si>
  <si>
    <t>iss14</t>
  </si>
  <si>
    <t>iss15</t>
  </si>
  <si>
    <t>iss16</t>
  </si>
  <si>
    <t>iss17</t>
  </si>
  <si>
    <t>iss18</t>
  </si>
  <si>
    <t>iss19</t>
  </si>
  <si>
    <t>iss20</t>
  </si>
  <si>
    <t>iss21</t>
  </si>
  <si>
    <t>iss22</t>
  </si>
  <si>
    <t>iss23</t>
  </si>
  <si>
    <t>iss24</t>
  </si>
  <si>
    <t>iss25</t>
  </si>
  <si>
    <t>iss26</t>
  </si>
  <si>
    <t>iss27</t>
  </si>
  <si>
    <t>iss28</t>
  </si>
  <si>
    <t>iss29</t>
  </si>
  <si>
    <t>iss30</t>
  </si>
  <si>
    <t>iss31</t>
  </si>
  <si>
    <t>iss32</t>
  </si>
  <si>
    <t>iss33</t>
  </si>
  <si>
    <t>iss34</t>
  </si>
  <si>
    <t>iss35</t>
  </si>
  <si>
    <t>iss36</t>
  </si>
  <si>
    <t>iss37</t>
  </si>
  <si>
    <t>iss38</t>
  </si>
  <si>
    <t>iss39</t>
  </si>
  <si>
    <t>iss40</t>
  </si>
  <si>
    <t>iss41</t>
  </si>
  <si>
    <t>iss42</t>
  </si>
  <si>
    <t>iss43</t>
  </si>
  <si>
    <t>iss44</t>
  </si>
  <si>
    <t>cfo02</t>
  </si>
  <si>
    <t>cii02</t>
    <phoneticPr fontId="1" type="noConversion"/>
  </si>
  <si>
    <t>cii03</t>
  </si>
  <si>
    <t>cii04</t>
  </si>
  <si>
    <t>cii05</t>
  </si>
  <si>
    <t>cii06</t>
  </si>
  <si>
    <t>t_cii</t>
    <phoneticPr fontId="1" type="noConversion"/>
  </si>
  <si>
    <t>cio01</t>
    <phoneticPr fontId="1" type="noConversion"/>
  </si>
  <si>
    <t>cio03</t>
  </si>
  <si>
    <t>cio04</t>
  </si>
  <si>
    <t>cio05</t>
  </si>
  <si>
    <t>cio06</t>
  </si>
  <si>
    <t>coi01</t>
  </si>
  <si>
    <t>coi02</t>
  </si>
  <si>
    <t>coi03</t>
  </si>
  <si>
    <t>coi04</t>
  </si>
  <si>
    <t>coi05</t>
  </si>
  <si>
    <t>coi06</t>
  </si>
  <si>
    <t>coi07</t>
  </si>
  <si>
    <t>coi08</t>
  </si>
  <si>
    <t>coi09</t>
  </si>
  <si>
    <t>coi10</t>
  </si>
  <si>
    <t>coi11</t>
  </si>
  <si>
    <t>coi12</t>
  </si>
  <si>
    <t>t_coi</t>
  </si>
  <si>
    <t>coo01</t>
  </si>
  <si>
    <t>coo02</t>
  </si>
  <si>
    <t>coo03</t>
  </si>
  <si>
    <t>coo04</t>
  </si>
  <si>
    <t>coo05</t>
  </si>
  <si>
    <t>coo06</t>
  </si>
  <si>
    <t>coo07</t>
  </si>
  <si>
    <t>coo08</t>
  </si>
  <si>
    <t>coo09</t>
  </si>
  <si>
    <t>t_coo</t>
  </si>
  <si>
    <t>cii01</t>
    <phoneticPr fontId="1" type="noConversion"/>
  </si>
  <si>
    <t>cio02</t>
    <phoneticPr fontId="1" type="noConversion"/>
  </si>
  <si>
    <t>t_cio</t>
    <phoneticPr fontId="1" type="noConversion"/>
  </si>
  <si>
    <t>cfi01</t>
    <phoneticPr fontId="1" type="noConversion"/>
  </si>
  <si>
    <t>cfi02</t>
  </si>
  <si>
    <t>cfi03</t>
  </si>
  <si>
    <t>cfi04</t>
  </si>
  <si>
    <t>cfi05</t>
  </si>
  <si>
    <t>t_cfi</t>
    <phoneticPr fontId="1" type="noConversion"/>
  </si>
  <si>
    <t>t_co</t>
    <phoneticPr fontId="1" type="noConversion"/>
  </si>
  <si>
    <t>cfo01</t>
    <phoneticPr fontId="1" type="noConversion"/>
  </si>
  <si>
    <t>cfo03</t>
  </si>
  <si>
    <t>cfo04</t>
  </si>
  <si>
    <t>t_cfo</t>
    <phoneticPr fontId="1" type="noConversion"/>
  </si>
  <si>
    <t>cro01</t>
    <phoneticPr fontId="1" type="noConversion"/>
  </si>
  <si>
    <t>cro02</t>
    <phoneticPr fontId="1" type="noConversion"/>
  </si>
  <si>
    <t>cro03</t>
  </si>
  <si>
    <t>cro04</t>
  </si>
  <si>
    <t>cro05</t>
  </si>
  <si>
    <t>cro06</t>
  </si>
  <si>
    <t>cro07</t>
  </si>
  <si>
    <t>cro08</t>
  </si>
  <si>
    <t>cro09</t>
  </si>
  <si>
    <t>cro10</t>
  </si>
  <si>
    <t>cro11</t>
  </si>
  <si>
    <t>cro12</t>
  </si>
  <si>
    <t>cro13</t>
  </si>
  <si>
    <t>cro14</t>
  </si>
  <si>
    <t>cro15</t>
  </si>
  <si>
    <t>cro16</t>
  </si>
  <si>
    <t>cro17</t>
  </si>
  <si>
    <t>cro18</t>
  </si>
  <si>
    <t>cro19</t>
  </si>
  <si>
    <t>cro20</t>
  </si>
  <si>
    <t>cro21</t>
  </si>
  <si>
    <t>cro22</t>
  </si>
  <si>
    <t>cro23</t>
  </si>
  <si>
    <t>cro24</t>
  </si>
  <si>
    <t>cro25</t>
  </si>
  <si>
    <t>cro26</t>
  </si>
  <si>
    <t>cro27</t>
  </si>
  <si>
    <t>cro28</t>
  </si>
  <si>
    <t>cro29</t>
  </si>
  <si>
    <t>cro30</t>
  </si>
  <si>
    <t>cro31</t>
  </si>
  <si>
    <t>cro32</t>
  </si>
  <si>
    <t>cro33</t>
  </si>
  <si>
    <t>cro34</t>
  </si>
  <si>
    <t>cro35</t>
  </si>
  <si>
    <t>cro36</t>
  </si>
  <si>
    <t>cro37</t>
  </si>
  <si>
    <t>复合增速</t>
    <phoneticPr fontId="1" type="noConversion"/>
  </si>
  <si>
    <t>t_ci</t>
    <phoneticPr fontId="1" type="noConversion"/>
  </si>
  <si>
    <t>t_cf</t>
    <phoneticPr fontId="1" type="noConversion"/>
  </si>
  <si>
    <t>净利润</t>
    <phoneticPr fontId="1" type="noConversion"/>
  </si>
  <si>
    <t>指标名称</t>
    <phoneticPr fontId="1" type="noConversion"/>
  </si>
  <si>
    <t>存货周转天数</t>
    <phoneticPr fontId="1" type="noConversion"/>
  </si>
  <si>
    <t>流动资产周转天数</t>
    <phoneticPr fontId="1" type="noConversion"/>
  </si>
  <si>
    <t>权益回报率</t>
    <phoneticPr fontId="1" type="noConversion"/>
  </si>
  <si>
    <t>股利支付率</t>
    <phoneticPr fontId="1" type="noConversion"/>
  </si>
  <si>
    <t>现金/未分配利润</t>
    <phoneticPr fontId="1" type="noConversion"/>
  </si>
  <si>
    <t>股票代码</t>
    <phoneticPr fontId="6" type="noConversion"/>
  </si>
  <si>
    <t>业绩增速预测(自动测评）</t>
    <phoneticPr fontId="6" type="noConversion"/>
  </si>
  <si>
    <t>基本每股收益预测（3年后）</t>
    <phoneticPr fontId="6" type="noConversion"/>
  </si>
  <si>
    <t>当前价格</t>
    <phoneticPr fontId="6" type="noConversion"/>
  </si>
  <si>
    <t>认可PE范围（第一列为动态市盈率）</t>
    <phoneticPr fontId="6" type="noConversion"/>
  </si>
  <si>
    <t>贴现价格(10%)</t>
    <phoneticPr fontId="6" type="noConversion"/>
  </si>
  <si>
    <t>贴现价格(15%)</t>
    <phoneticPr fontId="6" type="noConversion"/>
  </si>
  <si>
    <t>贴现价格(26%)</t>
    <phoneticPr fontId="6" type="noConversion"/>
  </si>
  <si>
    <t>以现价的预期收益率</t>
    <phoneticPr fontId="6" type="noConversion"/>
  </si>
  <si>
    <t>调整业绩预期</t>
    <phoneticPr fontId="6" type="noConversion"/>
  </si>
  <si>
    <t>调整业绩增速</t>
    <phoneticPr fontId="6" type="noConversion"/>
  </si>
  <si>
    <t>根据最近报表预测的增长速度</t>
    <phoneticPr fontId="6" type="noConversion"/>
  </si>
  <si>
    <t>基本每股收益预测（调整）</t>
    <phoneticPr fontId="6" type="noConversion"/>
  </si>
  <si>
    <t>预期收益率（调整）</t>
    <phoneticPr fontId="6" type="noConversion"/>
  </si>
  <si>
    <t>估值表（据现值）</t>
    <phoneticPr fontId="1" type="noConversion"/>
  </si>
  <si>
    <t>最高价格</t>
    <phoneticPr fontId="1" type="noConversion"/>
  </si>
  <si>
    <t>最高价格（调整）</t>
    <phoneticPr fontId="1" type="noConversion"/>
  </si>
  <si>
    <t>最近三年净利润增速</t>
    <phoneticPr fontId="1" type="noConversion"/>
  </si>
  <si>
    <t>认可PE范围（自行修改）</t>
    <phoneticPr fontId="1" type="noConversion"/>
  </si>
  <si>
    <t>报表类型</t>
    <phoneticPr fontId="1" type="noConversion"/>
  </si>
  <si>
    <t>获取周期</t>
    <phoneticPr fontId="1" type="noConversion"/>
  </si>
  <si>
    <t>参数名称</t>
    <phoneticPr fontId="1" type="noConversion"/>
  </si>
  <si>
    <t>输入值</t>
    <phoneticPr fontId="1" type="noConversion"/>
  </si>
  <si>
    <t>提示</t>
    <phoneticPr fontId="1" type="noConversion"/>
  </si>
  <si>
    <t>所需获取的报表周期数</t>
    <phoneticPr fontId="1" type="noConversion"/>
  </si>
  <si>
    <t>调整业绩增速</t>
    <phoneticPr fontId="1" type="noConversion"/>
  </si>
  <si>
    <t>调整市盈率1</t>
    <phoneticPr fontId="1" type="noConversion"/>
  </si>
  <si>
    <t>调整市盈率2</t>
    <phoneticPr fontId="1" type="noConversion"/>
  </si>
  <si>
    <t>调整市盈率4</t>
    <phoneticPr fontId="1" type="noConversion"/>
  </si>
  <si>
    <t>估值表输入参数</t>
    <phoneticPr fontId="1" type="noConversion"/>
  </si>
  <si>
    <t>手动预估业绩增速</t>
    <phoneticPr fontId="1" type="noConversion"/>
  </si>
  <si>
    <t>预期市盈率1</t>
    <phoneticPr fontId="1" type="noConversion"/>
  </si>
  <si>
    <t>预期市盈率2</t>
    <phoneticPr fontId="1" type="noConversion"/>
  </si>
  <si>
    <t>预期市盈率3</t>
    <phoneticPr fontId="1" type="noConversion"/>
  </si>
  <si>
    <t>预期市盈率4</t>
    <phoneticPr fontId="1" type="noConversion"/>
  </si>
  <si>
    <t>调整市盈率3</t>
    <phoneticPr fontId="1" type="noConversion"/>
  </si>
  <si>
    <t>1-6位数字</t>
    <phoneticPr fontId="1" type="noConversion"/>
  </si>
  <si>
    <t>指标</t>
    <phoneticPr fontId="1" type="noConversion"/>
  </si>
  <si>
    <t>算法</t>
    <phoneticPr fontId="1" type="noConversion"/>
  </si>
  <si>
    <t>说明</t>
    <phoneticPr fontId="1" type="noConversion"/>
  </si>
  <si>
    <t>供应链占款</t>
    <phoneticPr fontId="1" type="noConversion"/>
  </si>
  <si>
    <t>所有应收+预付+存货-所有应付-预收</t>
    <phoneticPr fontId="1" type="noConversion"/>
  </si>
  <si>
    <t>资金在供应链流转情况,越小越好但基本大于0</t>
    <phoneticPr fontId="1" type="noConversion"/>
  </si>
  <si>
    <t>营运资本占款（除现金）</t>
    <phoneticPr fontId="1" type="noConversion"/>
  </si>
  <si>
    <t>流动资产-流动负债-现金</t>
    <phoneticPr fontId="1" type="noConversion"/>
  </si>
  <si>
    <t>检查除了用于经营外，企业还用资金做了啥</t>
    <phoneticPr fontId="1" type="noConversion"/>
  </si>
  <si>
    <t>固定+无形资产占款</t>
    <phoneticPr fontId="1" type="noConversion"/>
  </si>
  <si>
    <t>固定资产+无形资产</t>
    <phoneticPr fontId="1" type="noConversion"/>
  </si>
  <si>
    <t>生产性非流动资产</t>
    <phoneticPr fontId="1" type="noConversion"/>
  </si>
  <si>
    <t>投资资产</t>
    <phoneticPr fontId="1" type="noConversion"/>
  </si>
  <si>
    <t>可供出售金融资产+持有至到期+投资性房地产</t>
    <phoneticPr fontId="1" type="noConversion"/>
  </si>
  <si>
    <t>商誉</t>
    <phoneticPr fontId="1" type="noConversion"/>
  </si>
  <si>
    <t>/</t>
    <phoneticPr fontId="1" type="noConversion"/>
  </si>
  <si>
    <t>/</t>
    <phoneticPr fontId="1" type="noConversion"/>
  </si>
  <si>
    <t>/</t>
    <phoneticPr fontId="1" type="noConversion"/>
  </si>
  <si>
    <t>有息负债</t>
    <phoneticPr fontId="1" type="noConversion"/>
  </si>
  <si>
    <t>短期借款+应收债券+长期借款+一年内到期负债</t>
    <phoneticPr fontId="1" type="noConversion"/>
  </si>
  <si>
    <t>负有利息的负债</t>
    <phoneticPr fontId="1" type="noConversion"/>
  </si>
  <si>
    <t>投入资本</t>
    <phoneticPr fontId="1" type="noConversion"/>
  </si>
  <si>
    <t>有息负债+股东权益</t>
    <phoneticPr fontId="1" type="noConversion"/>
  </si>
  <si>
    <t>速动资产</t>
    <phoneticPr fontId="1" type="noConversion"/>
  </si>
  <si>
    <t>现金+所有应收+交易性金融资产+可供出售</t>
    <phoneticPr fontId="1" type="noConversion"/>
  </si>
  <si>
    <t>因现在供应链金融已经发展，所以应收类资产也计算在内</t>
    <phoneticPr fontId="1" type="noConversion"/>
  </si>
  <si>
    <t>可投资金</t>
    <phoneticPr fontId="1" type="noConversion"/>
  </si>
  <si>
    <t>速动资产+经营现金流</t>
    <phoneticPr fontId="1" type="noConversion"/>
  </si>
  <si>
    <t>所有周转类指标</t>
    <phoneticPr fontId="1" type="noConversion"/>
  </si>
  <si>
    <t>使用期末余额而不是平均余额</t>
    <phoneticPr fontId="1" type="noConversion"/>
  </si>
  <si>
    <t>关于Command表格提供参数</t>
    <phoneticPr fontId="1" type="noConversion"/>
  </si>
  <si>
    <t>参数名称</t>
    <phoneticPr fontId="1" type="noConversion"/>
  </si>
  <si>
    <t>说明</t>
    <phoneticPr fontId="1" type="noConversion"/>
  </si>
  <si>
    <t>股票代码</t>
    <phoneticPr fontId="1" type="noConversion"/>
  </si>
  <si>
    <t>没什么好说的，1至6位数字，不足6位的，系统自动加0</t>
    <phoneticPr fontId="1" type="noConversion"/>
  </si>
  <si>
    <t>报表类型</t>
    <phoneticPr fontId="1" type="noConversion"/>
  </si>
  <si>
    <t>就是获取季报还是年报，参数见提示</t>
    <phoneticPr fontId="1" type="noConversion"/>
  </si>
  <si>
    <t>获取周期</t>
    <phoneticPr fontId="1" type="noConversion"/>
  </si>
  <si>
    <t>表格名称</t>
    <phoneticPr fontId="1" type="noConversion"/>
  </si>
  <si>
    <t>Command</t>
    <phoneticPr fontId="1" type="noConversion"/>
  </si>
  <si>
    <t>所有程序需要提供的数据均从这里输入</t>
    <phoneticPr fontId="1" type="noConversion"/>
  </si>
  <si>
    <t>Valuation</t>
    <phoneticPr fontId="1" type="noConversion"/>
  </si>
  <si>
    <t>Source</t>
    <phoneticPr fontId="1" type="noConversion"/>
  </si>
  <si>
    <t>估值表(PE法)，数据动态生成，不可编辑</t>
    <phoneticPr fontId="1" type="noConversion"/>
  </si>
  <si>
    <t>几张表格说明</t>
    <phoneticPr fontId="1" type="noConversion"/>
  </si>
  <si>
    <t>可能比较怪异的指标解释</t>
    <phoneticPr fontId="1" type="noConversion"/>
  </si>
  <si>
    <t>一般只选择4年，获取多了也不会呈现的（要呈现的话需要调整Source表格中引用名称定义）</t>
    <phoneticPr fontId="1" type="noConversion"/>
  </si>
  <si>
    <t>4=年报、1=1季报、2=中报、3=3季报</t>
    <phoneticPr fontId="1" type="noConversion"/>
  </si>
  <si>
    <t>报告日期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</si>
  <si>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</si>
  <si>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</si>
  <si>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</si>
  <si>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</si>
  <si>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</si>
  <si>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</si>
  <si>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</si>
  <si>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</si>
  <si>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</si>
  <si>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</si>
  <si>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</si>
  <si>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</si>
  <si>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</si>
  <si>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</si>
  <si>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</si>
  <si>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</si>
  <si>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</si>
  <si>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</si>
  <si>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</si>
  <si>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</si>
  <si>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</si>
  <si>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</si>
  <si>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</si>
  <si>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</si>
  <si>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</si>
  <si>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</si>
  <si>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</si>
  <si>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</si>
  <si>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</si>
  <si>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</si>
  <si>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</si>
  <si>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</si>
  <si>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</si>
  <si>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</si>
  <si>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</si>
  <si>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</si>
  <si>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</si>
  <si>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</si>
  <si>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</si>
  <si>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</si>
  <si>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</si>
  <si>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</si>
  <si>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</si>
  <si>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</si>
  <si>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</si>
  <si>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</si>
  <si>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</si>
  <si>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</si>
  <si>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</si>
  <si>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</si>
  <si>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</si>
  <si>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</si>
  <si>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</si>
  <si>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</si>
  <si>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</si>
  <si>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</si>
  <si>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</si>
  <si>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</si>
  <si>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</si>
  <si>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</si>
  <si>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</si>
  <si>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</si>
  <si>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</si>
  <si>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</si>
  <si>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</si>
  <si>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</si>
  <si>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</si>
  <si>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</si>
  <si>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</si>
  <si>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</si>
  <si>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</si>
  <si>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</si>
  <si>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</si>
  <si>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</si>
  <si>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</si>
  <si>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</si>
  <si>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</si>
  <si>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</si>
  <si>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</si>
  <si>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</si>
  <si>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</si>
  <si>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</si>
  <si>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</si>
  <si>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</si>
  <si>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</si>
  <si>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</si>
  <si>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</si>
  <si>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</si>
  <si>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</si>
  <si>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长期递延收益(万元)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</si>
  <si>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</si>
  <si>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</si>
  <si>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</si>
  <si>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</si>
  <si>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</si>
  <si>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</si>
  <si>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</si>
  <si>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</si>
  <si>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</si>
  <si>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</si>
  <si>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</si>
  <si>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</si>
  <si>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</si>
  <si>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</si>
  <si>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</si>
  <si>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</si>
  <si>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</si>
  <si>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</si>
  <si>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>营业总收入(万元)</t>
  </si>
  <si>
    <t>营业收入(万元)</t>
  </si>
  <si>
    <t>利息收入(万元)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</si>
  <si>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</si>
  <si>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</si>
  <si>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</si>
  <si>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</si>
  <si>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</si>
  <si>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</si>
  <si>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</si>
  <si>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</si>
  <si>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</si>
  <si>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</si>
  <si>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</si>
  <si>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</si>
  <si>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</si>
  <si>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</si>
  <si>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</si>
  <si>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</si>
  <si>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</si>
  <si>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</si>
  <si>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</si>
  <si>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</si>
  <si>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</si>
  <si>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</si>
  <si>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投资收益(万元)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</si>
  <si>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</si>
  <si>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</si>
  <si>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</si>
  <si>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</si>
  <si>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</si>
  <si>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</si>
  <si>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</si>
  <si>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</si>
  <si>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</si>
  <si>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</si>
  <si>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</si>
  <si>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</si>
  <si>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</si>
  <si>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</si>
  <si>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</si>
  <si>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</si>
  <si>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</si>
  <si>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</si>
  <si>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销售商品、提供劳务收到的现金(万元)</t>
  </si>
  <si>
    <t>客户存款和同业存放款项净增加额(万元)</t>
  </si>
  <si>
    <t>向中央银行借款净增加额(万元</t>
  </si>
  <si>
    <t>向其他金融机构拆入资金净增加额(万元)</t>
  </si>
  <si>
    <t>收到原保险合同保费取得的现金(万元)</t>
  </si>
  <si>
    <t>收到再保险业务现金净额(万元)</t>
  </si>
  <si>
    <t>保户储金及投资款净增加额(万元)</t>
  </si>
  <si>
    <t>处置交易性金融资产净增加额(万元)</t>
  </si>
  <si>
    <t>收取利息、手续费及佣金的现金(万元)</t>
  </si>
  <si>
    <t>拆入资金净增加额(万元)</t>
  </si>
  <si>
    <t>回购业务资金净增加额(万元)</t>
  </si>
  <si>
    <t>收到的税费返还(万元)</t>
  </si>
  <si>
    <t>收到的其他与经营活动有关的现金(万元)</t>
  </si>
  <si>
    <t>经营活动现金流入小计(万元)</t>
  </si>
  <si>
    <t>购买商品、接受劳务支付的现金(万元)</t>
  </si>
  <si>
    <t>客户贷款及垫款净增加额(万元)</t>
  </si>
  <si>
    <t>存放中央银行和同业款项净增加额(万元)</t>
  </si>
  <si>
    <t>支付原保险合同赔付款项的现金(万元)</t>
  </si>
  <si>
    <t>支付利息、手续费及佣金的现金(万元)</t>
  </si>
  <si>
    <t>支付保单红利的现金(万元)</t>
  </si>
  <si>
    <t>支付给职工以及为职工支付的现金(万元)</t>
  </si>
  <si>
    <t>支付的各项税费(万元)</t>
  </si>
  <si>
    <t>支付的其他与经营活动有关的现金(万元)</t>
  </si>
  <si>
    <t>经营活动现金流出小计(万元)</t>
  </si>
  <si>
    <t>经营活动产生的现金流量净额(万元)</t>
  </si>
  <si>
    <t>收回投资所收到的现金(万元)</t>
  </si>
  <si>
    <t>取得投资收益所收到的现金(万元)</t>
  </si>
  <si>
    <t>处置固定资产、无形资产和其他长期资产所收回的现金净额(万元)</t>
  </si>
  <si>
    <t>处置子公司及其他营业单位收到的现金净额(万元)</t>
  </si>
  <si>
    <t>收到的其他与投资活动有关的现金(万元)</t>
  </si>
  <si>
    <t>减少质押和定期存款所收到的现金(万元)</t>
  </si>
  <si>
    <t>投资活动现金流入小计(万元)</t>
  </si>
  <si>
    <t>购建固定资产、无形资产和其他长期资产所支付的现金(万元)</t>
  </si>
  <si>
    <t>投资所支付的现金(万元)</t>
  </si>
  <si>
    <t>质押贷款净增加额(万元)</t>
  </si>
  <si>
    <t>取得子公司及其他营业单位支付的现金净额(万元)</t>
  </si>
  <si>
    <t>支付的其他与投资活动有关的现金(万元)</t>
  </si>
  <si>
    <t>增加质押和定期存款所支付的现金(万元)</t>
  </si>
  <si>
    <t>投资活动现金流出小计(万元)</t>
  </si>
  <si>
    <t>投资活动产生的现金流量净额(万元)</t>
  </si>
  <si>
    <t>吸收投资收到的现金(万元)</t>
  </si>
  <si>
    <t>其中：子公司吸收少数股东投资收到的现金(万元)</t>
  </si>
  <si>
    <t>取得借款收到的现金(万元)</t>
  </si>
  <si>
    <t>发行债券收到的现金(万元)</t>
  </si>
  <si>
    <t>收到其他与筹资活动有关的现金(万元)</t>
  </si>
  <si>
    <t>筹资活动现金流入小计(万元)</t>
  </si>
  <si>
    <t>偿还债务支付的现金(万元)</t>
  </si>
  <si>
    <t>分配股利、利润或偿付利息所支付的现金(万元)</t>
  </si>
  <si>
    <t>其中：子公司支付给少数股东的股利、利润(万元)</t>
  </si>
  <si>
    <t>支付其他与筹资活动有关的现金(万元)</t>
  </si>
  <si>
    <t>筹资活动现金流出小计(万元)</t>
  </si>
  <si>
    <t>筹资活动产生的现金流量净额(万元)</t>
  </si>
  <si>
    <t>汇率变动对现金及现金等价物的影响(万元)</t>
  </si>
  <si>
    <t>现金及现金等价物净增加额(万元)</t>
  </si>
  <si>
    <t>加:期初现金及现金等价物余额(万元)</t>
  </si>
  <si>
    <t>期末现金及现金等价物余额(万元)</t>
  </si>
  <si>
    <t>未确认的投资损失(万元)</t>
  </si>
  <si>
    <t>资产减值准备(万元)</t>
  </si>
  <si>
    <t>固定资产折旧、油气资产折耗、生产性物资折旧(万元)</t>
  </si>
  <si>
    <t>无形资产摊销(万元)</t>
  </si>
  <si>
    <t>长期待摊费用摊销(万元)</t>
  </si>
  <si>
    <t>资产端</t>
    <phoneticPr fontId="1" type="noConversion"/>
  </si>
  <si>
    <t>项目</t>
    <phoneticPr fontId="1" type="noConversion"/>
  </si>
  <si>
    <t>最新变动数</t>
    <phoneticPr fontId="1" type="noConversion"/>
  </si>
  <si>
    <t>现金</t>
    <phoneticPr fontId="1" type="noConversion"/>
  </si>
  <si>
    <t>流动资产除现金</t>
    <phoneticPr fontId="1" type="noConversion"/>
  </si>
  <si>
    <t>在建工程</t>
    <phoneticPr fontId="1" type="noConversion"/>
  </si>
  <si>
    <t>负债端</t>
    <phoneticPr fontId="1" type="noConversion"/>
  </si>
  <si>
    <t>股权融资(股本+资本公积)</t>
    <phoneticPr fontId="1" type="noConversion"/>
  </si>
  <si>
    <t>未分配利润</t>
    <phoneticPr fontId="1" type="noConversion"/>
  </si>
  <si>
    <t>三、营收、成本、利润结构</t>
    <phoneticPr fontId="1" type="noConversion"/>
  </si>
  <si>
    <t>营业收入</t>
    <phoneticPr fontId="1" type="noConversion"/>
  </si>
  <si>
    <t>投资收益</t>
    <phoneticPr fontId="1" type="noConversion"/>
  </si>
  <si>
    <t>营业成本</t>
    <phoneticPr fontId="1" type="noConversion"/>
  </si>
  <si>
    <t>管理费用</t>
    <phoneticPr fontId="1" type="noConversion"/>
  </si>
  <si>
    <t>财务费用</t>
    <phoneticPr fontId="1" type="noConversion"/>
  </si>
  <si>
    <t>销售费用</t>
    <phoneticPr fontId="1" type="noConversion"/>
  </si>
  <si>
    <t>项目</t>
    <phoneticPr fontId="1" type="noConversion"/>
  </si>
  <si>
    <t>特别指标*: 运营资本除现金</t>
    <phoneticPr fontId="1" type="noConversion"/>
  </si>
  <si>
    <t>特别指标*: 供应链占款</t>
    <phoneticPr fontId="1" type="noConversion"/>
  </si>
  <si>
    <t>特别指标*: 速动资产</t>
    <phoneticPr fontId="1" type="noConversion"/>
  </si>
  <si>
    <t>最新变动</t>
    <phoneticPr fontId="1" type="noConversion"/>
  </si>
  <si>
    <t>非经常项目损益</t>
    <phoneticPr fontId="1" type="noConversion"/>
  </si>
  <si>
    <t>四、现金流量简表</t>
    <phoneticPr fontId="1" type="noConversion"/>
  </si>
  <si>
    <t>经营活动现金流入</t>
    <phoneticPr fontId="1" type="noConversion"/>
  </si>
  <si>
    <t>经营活动现金流出</t>
    <phoneticPr fontId="1" type="noConversion"/>
  </si>
  <si>
    <t>经营活动现金流量净额</t>
    <phoneticPr fontId="1" type="noConversion"/>
  </si>
  <si>
    <t>最新变动比例</t>
    <phoneticPr fontId="1" type="noConversion"/>
  </si>
  <si>
    <t>投资活动现金流入</t>
  </si>
  <si>
    <t>投资活动现金流出</t>
  </si>
  <si>
    <t>投资活动现金流量净额</t>
  </si>
  <si>
    <t>筹资活动现金流入</t>
  </si>
  <si>
    <t>筹资活动现金流出</t>
  </si>
  <si>
    <t>筹资活动现金流量净额</t>
  </si>
  <si>
    <t>五、主要财务指标</t>
    <phoneticPr fontId="1" type="noConversion"/>
  </si>
  <si>
    <t>资产负债类</t>
    <phoneticPr fontId="1" type="noConversion"/>
  </si>
  <si>
    <t>项目</t>
    <phoneticPr fontId="1" type="noConversion"/>
  </si>
  <si>
    <t>最新变动值</t>
    <phoneticPr fontId="1" type="noConversion"/>
  </si>
  <si>
    <t>资产负债率</t>
    <phoneticPr fontId="1" type="noConversion"/>
  </si>
  <si>
    <t>流动资产比例</t>
    <phoneticPr fontId="1" type="noConversion"/>
  </si>
  <si>
    <t>有息负债比例</t>
    <phoneticPr fontId="1" type="noConversion"/>
  </si>
  <si>
    <t>资产总计</t>
    <phoneticPr fontId="1" type="noConversion"/>
  </si>
  <si>
    <t>应收账款周转天数</t>
    <phoneticPr fontId="1" type="noConversion"/>
  </si>
  <si>
    <t>固定+无形资产周转天数</t>
    <phoneticPr fontId="1" type="noConversion"/>
  </si>
  <si>
    <t>应付/存货</t>
    <phoneticPr fontId="1" type="noConversion"/>
  </si>
  <si>
    <t>预收/存货</t>
    <phoneticPr fontId="1" type="noConversion"/>
  </si>
  <si>
    <t>回报相关/杜邦体系</t>
    <phoneticPr fontId="1" type="noConversion"/>
  </si>
  <si>
    <t>总资产周转率</t>
    <phoneticPr fontId="1" type="noConversion"/>
  </si>
  <si>
    <t>权益乘数</t>
    <phoneticPr fontId="1" type="noConversion"/>
  </si>
  <si>
    <t>已投入资本</t>
    <phoneticPr fontId="1" type="noConversion"/>
  </si>
  <si>
    <t>已投入资本（不含现金）</t>
    <phoneticPr fontId="1" type="noConversion"/>
  </si>
  <si>
    <t>投资资本回报率</t>
    <phoneticPr fontId="1" type="noConversion"/>
  </si>
  <si>
    <t>最新期占比</t>
    <phoneticPr fontId="1" type="noConversion"/>
  </si>
  <si>
    <t>现金/净利润</t>
    <phoneticPr fontId="1" type="noConversion"/>
  </si>
  <si>
    <t>投资性资产</t>
    <phoneticPr fontId="1" type="noConversion"/>
  </si>
  <si>
    <t>固定+无形</t>
    <phoneticPr fontId="1" type="noConversion"/>
  </si>
  <si>
    <t>净利润率</t>
    <phoneticPr fontId="1" type="noConversion"/>
  </si>
  <si>
    <t>未分配利润/总股本</t>
    <phoneticPr fontId="1" type="noConversion"/>
  </si>
  <si>
    <t>资本公积/总股本</t>
    <phoneticPr fontId="1" type="noConversion"/>
  </si>
  <si>
    <t>一、资产负债表结构（TOP10/单位万元)</t>
    <phoneticPr fontId="1" type="noConversion"/>
  </si>
  <si>
    <t>基本信息</t>
    <phoneticPr fontId="1" type="noConversion"/>
  </si>
  <si>
    <t>公司名称</t>
    <phoneticPr fontId="1" type="noConversion"/>
  </si>
  <si>
    <t>当前股价</t>
    <phoneticPr fontId="1" type="noConversion"/>
  </si>
  <si>
    <t>市盈率（静）</t>
    <phoneticPr fontId="1" type="noConversion"/>
  </si>
  <si>
    <t>PEG(当前)</t>
    <phoneticPr fontId="1" type="noConversion"/>
  </si>
  <si>
    <t>PEG(复合)</t>
    <phoneticPr fontId="1" type="noConversion"/>
  </si>
  <si>
    <t>PSG(当前)</t>
    <phoneticPr fontId="1" type="noConversion"/>
  </si>
  <si>
    <t>PSG(复合)</t>
    <phoneticPr fontId="1" type="noConversion"/>
  </si>
  <si>
    <t>市盈率(动)</t>
    <phoneticPr fontId="1" type="noConversion"/>
  </si>
  <si>
    <t>市净率</t>
    <phoneticPr fontId="1" type="noConversion"/>
  </si>
  <si>
    <t>总股本</t>
    <phoneticPr fontId="1" type="noConversion"/>
  </si>
  <si>
    <t>总市值(亿)</t>
    <phoneticPr fontId="1" type="noConversion"/>
  </si>
  <si>
    <t>流通盘</t>
    <phoneticPr fontId="1" type="noConversion"/>
  </si>
  <si>
    <t>市销率</t>
    <phoneticPr fontId="1" type="noConversion"/>
  </si>
  <si>
    <t>资产负债特别指标</t>
    <phoneticPr fontId="1" type="noConversion"/>
  </si>
  <si>
    <t>变动数</t>
    <phoneticPr fontId="1" type="noConversion"/>
  </si>
  <si>
    <t>变动比例</t>
    <phoneticPr fontId="1" type="noConversion"/>
  </si>
  <si>
    <t>占总资比</t>
    <phoneticPr fontId="1" type="noConversion"/>
  </si>
  <si>
    <t>ROE.TTM</t>
    <phoneticPr fontId="1" type="noConversion"/>
  </si>
  <si>
    <t>变动(亿)</t>
    <phoneticPr fontId="1" type="noConversion"/>
  </si>
  <si>
    <t>增幅</t>
    <phoneticPr fontId="1" type="noConversion"/>
  </si>
  <si>
    <t>增幅</t>
    <phoneticPr fontId="1" type="noConversion"/>
  </si>
  <si>
    <t>同比增速</t>
    <phoneticPr fontId="1" type="noConversion"/>
  </si>
  <si>
    <t>短期负债敞口</t>
    <phoneticPr fontId="1" type="noConversion"/>
  </si>
  <si>
    <t>速动资产-短期负债</t>
    <phoneticPr fontId="1" type="noConversion"/>
  </si>
  <si>
    <t>资产端考虑了应收、负债端未考虑应付</t>
    <phoneticPr fontId="1" type="noConversion"/>
  </si>
  <si>
    <t>/</t>
    <phoneticPr fontId="1" type="noConversion"/>
  </si>
  <si>
    <t>/</t>
    <phoneticPr fontId="1" type="noConversion"/>
  </si>
  <si>
    <t>含应收*</t>
    <phoneticPr fontId="1" type="noConversion"/>
  </si>
  <si>
    <t>项目</t>
    <phoneticPr fontId="1" type="noConversion"/>
  </si>
  <si>
    <t>变动</t>
    <phoneticPr fontId="1" type="noConversion"/>
  </si>
  <si>
    <t>by c_HsiaoTien</t>
    <phoneticPr fontId="1" type="noConversion"/>
  </si>
  <si>
    <t>不含应收票据（银承）</t>
    <phoneticPr fontId="1" type="noConversion"/>
  </si>
  <si>
    <t>风险评估</t>
    <phoneticPr fontId="1" type="noConversion"/>
  </si>
  <si>
    <t>短期债务</t>
    <phoneticPr fontId="1" type="noConversion"/>
  </si>
  <si>
    <t>加：财务费用</t>
    <phoneticPr fontId="1" type="noConversion"/>
  </si>
  <si>
    <t>短期债务(ST-debt)</t>
    <phoneticPr fontId="1" type="noConversion"/>
  </si>
  <si>
    <t>长期债务(LT-debt)</t>
    <phoneticPr fontId="1" type="noConversion"/>
  </si>
  <si>
    <t>减：现金</t>
    <phoneticPr fontId="1" type="noConversion"/>
  </si>
  <si>
    <t>1)现金敞口*</t>
    <phoneticPr fontId="1" type="noConversion"/>
  </si>
  <si>
    <t>加：长期债务</t>
    <phoneticPr fontId="1" type="noConversion"/>
  </si>
  <si>
    <t>4)总敞口</t>
    <phoneticPr fontId="1" type="noConversion"/>
  </si>
  <si>
    <t>5)供应链负债敞口*</t>
    <phoneticPr fontId="1" type="noConversion"/>
  </si>
  <si>
    <t>6)短期负债/速动资产*</t>
    <phoneticPr fontId="1" type="noConversion"/>
  </si>
  <si>
    <t>7)利息覆盖倍数*</t>
    <phoneticPr fontId="1" type="noConversion"/>
  </si>
  <si>
    <t>8)减值准备计提比例*</t>
    <phoneticPr fontId="1" type="noConversion"/>
  </si>
  <si>
    <t>包含可变现资产</t>
    <phoneticPr fontId="1" type="noConversion"/>
  </si>
  <si>
    <t>/</t>
    <phoneticPr fontId="1" type="noConversion"/>
  </si>
  <si>
    <t>/</t>
    <phoneticPr fontId="1" type="noConversion"/>
  </si>
  <si>
    <t>利息（上一年度）*</t>
    <phoneticPr fontId="1" type="noConversion"/>
  </si>
  <si>
    <t>减：净经营现金流</t>
    <phoneticPr fontId="1" type="noConversion"/>
  </si>
  <si>
    <t>2)资金链敞口*</t>
    <phoneticPr fontId="1" type="noConversion"/>
  </si>
  <si>
    <t>减：速动资产</t>
    <phoneticPr fontId="1" type="noConversion"/>
  </si>
  <si>
    <t>不包括现金及应收类</t>
    <phoneticPr fontId="1" type="noConversion"/>
  </si>
  <si>
    <t>3)短期债务敞口*</t>
    <phoneticPr fontId="1" type="noConversion"/>
  </si>
  <si>
    <t>减：有形、无形资产(PPE)</t>
    <phoneticPr fontId="1" type="noConversion"/>
  </si>
  <si>
    <t>减：在建工程</t>
    <phoneticPr fontId="1" type="noConversion"/>
  </si>
  <si>
    <t>减：投资性资产</t>
    <phoneticPr fontId="1" type="noConversion"/>
  </si>
  <si>
    <t>应付-应收*</t>
    <phoneticPr fontId="1" type="noConversion"/>
  </si>
  <si>
    <t>其中：销售商品</t>
    <phoneticPr fontId="1" type="noConversion"/>
  </si>
  <si>
    <t>待摊费用的减少(万元)</t>
  </si>
  <si>
    <t>预提费用的增加(万元)</t>
  </si>
  <si>
    <t>处置固定资产、无形资产和其他长期资产的损失(万元)</t>
  </si>
  <si>
    <t>固定资产报废损失(万元)</t>
  </si>
  <si>
    <t>公允价值变动损失(万元)</t>
  </si>
  <si>
    <t>递延收益增加(减：减少)(万元)</t>
  </si>
  <si>
    <t>预计负债(万元)</t>
  </si>
  <si>
    <t>投资损失(万元)</t>
  </si>
  <si>
    <t>递延所得税资产减少(万元)</t>
  </si>
  <si>
    <t>递延所得税负债增加(万元)</t>
  </si>
  <si>
    <t>存货的减少(万元)</t>
  </si>
  <si>
    <t>经营性应收项目的减少(万元)</t>
  </si>
  <si>
    <t>经营性应付项目的增加(万元)</t>
  </si>
  <si>
    <t>已完工尚未结算款的减少(减:增加)(万元)</t>
  </si>
  <si>
    <t>已结算尚未完工款的增加(减:减少)(万元)</t>
  </si>
  <si>
    <t>其他(万元)</t>
  </si>
  <si>
    <t>经营活动产生现金流量净额(万元)</t>
  </si>
  <si>
    <t>债务转为资本(万元)</t>
  </si>
  <si>
    <t>一年内到期的可转换公司债券(万元)</t>
  </si>
  <si>
    <t>融资租入固定资产(万元)</t>
  </si>
  <si>
    <t>现金的期末余额(万元)</t>
  </si>
  <si>
    <t>现金的期初余额(万元)</t>
  </si>
  <si>
    <t>现金等价物的期末余额(万元)</t>
  </si>
  <si>
    <t>现金等价物的期初余额(万元)</t>
  </si>
  <si>
    <t>现金及现金等价物的净增加额(万元)</t>
  </si>
  <si>
    <t>营业利润[1]</t>
    <phoneticPr fontId="1" type="noConversion"/>
  </si>
  <si>
    <t>资产减损</t>
    <phoneticPr fontId="1" type="noConversion"/>
  </si>
  <si>
    <t>公允价值变动</t>
    <phoneticPr fontId="1" type="noConversion"/>
  </si>
  <si>
    <t>净利润</t>
    <phoneticPr fontId="1" type="noConversion"/>
  </si>
  <si>
    <t>固定成本</t>
    <phoneticPr fontId="1" type="noConversion"/>
  </si>
  <si>
    <t>浮动成本</t>
    <phoneticPr fontId="1" type="noConversion"/>
  </si>
  <si>
    <t>说明：营业利润[1]=营业收入-营业成本-三项费用-营业税金和附加（跟营业密切相关），取消“扣非利润”</t>
    <phoneticPr fontId="1" type="noConversion"/>
  </si>
  <si>
    <t>项目</t>
    <phoneticPr fontId="1" type="noConversion"/>
  </si>
  <si>
    <t>最新变动</t>
    <phoneticPr fontId="1" type="noConversion"/>
  </si>
  <si>
    <t>变动比例</t>
    <phoneticPr fontId="1" type="noConversion"/>
  </si>
  <si>
    <t>占营收比</t>
    <phoneticPr fontId="1" type="noConversion"/>
  </si>
  <si>
    <t>税</t>
    <phoneticPr fontId="1" type="noConversion"/>
  </si>
  <si>
    <t>所得税(随利润浮动）</t>
    <phoneticPr fontId="1" type="noConversion"/>
  </si>
  <si>
    <t>二、资产负债分类展示（单位亿元）</t>
    <phoneticPr fontId="1" type="noConversion"/>
  </si>
  <si>
    <t>负债、权益概要</t>
    <phoneticPr fontId="1" type="noConversion"/>
  </si>
  <si>
    <t>资产概要</t>
    <phoneticPr fontId="1" type="noConversion"/>
  </si>
  <si>
    <t>收入概要</t>
    <phoneticPr fontId="1" type="noConversion"/>
  </si>
  <si>
    <t>少数股东损益</t>
    <phoneticPr fontId="1" type="noConversion"/>
  </si>
  <si>
    <t>归母净利润</t>
    <phoneticPr fontId="1" type="noConversion"/>
  </si>
  <si>
    <t>PPE比例</t>
    <phoneticPr fontId="1" type="noConversion"/>
  </si>
  <si>
    <t>投资性资产比例</t>
    <phoneticPr fontId="1" type="noConversion"/>
  </si>
  <si>
    <t>毛利率[1]</t>
    <phoneticPr fontId="1" type="noConversion"/>
  </si>
  <si>
    <t>三项费用率[2]</t>
    <phoneticPr fontId="1" type="noConversion"/>
  </si>
  <si>
    <t>成本费用率[1+2]</t>
    <phoneticPr fontId="1" type="noConversion"/>
  </si>
  <si>
    <t>人工成本[3]</t>
    <phoneticPr fontId="1" type="noConversion"/>
  </si>
  <si>
    <t>设备折旧成本[4]</t>
    <phoneticPr fontId="1" type="noConversion"/>
  </si>
  <si>
    <t>税务成本[5]</t>
    <phoneticPr fontId="1" type="noConversion"/>
  </si>
  <si>
    <t>净利润率[6]</t>
    <phoneticPr fontId="1" type="noConversion"/>
  </si>
  <si>
    <t>融资成本[*]</t>
    <phoneticPr fontId="1" type="noConversion"/>
  </si>
  <si>
    <t>周转类指标</t>
    <phoneticPr fontId="1" type="noConversion"/>
  </si>
  <si>
    <t>说明: [3]+[4]+[5]+[6]+[7]=100%</t>
    <phoneticPr fontId="1" type="noConversion"/>
  </si>
  <si>
    <t>速动资产(不含应收及现金)*</t>
    <phoneticPr fontId="1" type="noConversion"/>
  </si>
  <si>
    <t>1&gt; 其中:购买商品及劳务</t>
    <phoneticPr fontId="1" type="noConversion"/>
  </si>
  <si>
    <t>说明：
1)此处将三项费用中“销售费用”视为可变成本，因为销售产生的费用大多与业绩挂钩。
2)固定成本少算了管理部门研发等支出，多算了销售部门工资，因为标准报表没有单独披露各部门折旧，员工薪酬等情况
3)如果实在有强迫症或者计算结果偏差太大，可在财务报表附注得到支出明细。</t>
    <phoneticPr fontId="1" type="noConversion"/>
  </si>
  <si>
    <t>2&gt; 其中：工资及相关支出</t>
    <phoneticPr fontId="1" type="noConversion"/>
  </si>
  <si>
    <t>原辅材、能源费用[7]</t>
    <phoneticPr fontId="1" type="noConversion"/>
  </si>
  <si>
    <t>人工成本</t>
    <phoneticPr fontId="1" type="noConversion"/>
  </si>
  <si>
    <t>财务成本</t>
    <phoneticPr fontId="1" type="noConversion"/>
  </si>
  <si>
    <t>折旧成本</t>
    <phoneticPr fontId="1" type="noConversion"/>
  </si>
  <si>
    <t>税务成本</t>
    <phoneticPr fontId="1" type="noConversion"/>
  </si>
  <si>
    <t>净利润</t>
    <phoneticPr fontId="1" type="noConversion"/>
  </si>
  <si>
    <t>成本构成[1]</t>
    <phoneticPr fontId="1" type="noConversion"/>
  </si>
  <si>
    <t>成本构成[2]</t>
    <phoneticPr fontId="1" type="noConversion"/>
  </si>
  <si>
    <t>原辅材、能源[*]</t>
    <phoneticPr fontId="1" type="noConversion"/>
  </si>
  <si>
    <t>百分比营业账表</t>
    <phoneticPr fontId="1" type="noConversion"/>
  </si>
  <si>
    <t>成本构成[3]</t>
    <phoneticPr fontId="1" type="noConversion"/>
  </si>
  <si>
    <t>送转股能力指标</t>
    <phoneticPr fontId="1" type="noConversion"/>
  </si>
  <si>
    <t>说明：
1)此处原辅材、能源为通过反向推理测算，可能不准确
2)人工成本为现金流量表相关数据，可能与确认的实际人工费用有差异
3)原材料、能源费用大幅增加可能有并购因素，被并购标的毛利率较低，也可能是原料涨料</t>
    <phoneticPr fontId="1" type="noConversion"/>
  </si>
  <si>
    <t>资产负债表区</t>
    <phoneticPr fontId="1" type="noConversion"/>
  </si>
  <si>
    <t>利润表区</t>
    <phoneticPr fontId="1" type="noConversion"/>
  </si>
  <si>
    <t>现金流量表区</t>
    <phoneticPr fontId="1" type="noConversion"/>
  </si>
  <si>
    <t>上市公司财报分析系统v25</t>
    <phoneticPr fontId="1" type="noConversion"/>
  </si>
  <si>
    <t>系统状态</t>
    <phoneticPr fontId="1" type="noConversion"/>
  </si>
  <si>
    <t>科目</t>
    <phoneticPr fontId="1" type="noConversion"/>
  </si>
  <si>
    <t>环比</t>
    <phoneticPr fontId="1" type="noConversion"/>
  </si>
  <si>
    <t>QauterlyA</t>
    <phoneticPr fontId="1" type="noConversion"/>
  </si>
  <si>
    <t>季度分析报表（主要是利润表），主要解释利润去哪儿了和利润从哪来这样的哲学问题</t>
    <phoneticPr fontId="1" type="noConversion"/>
  </si>
  <si>
    <t>源数据表,vba获得数据后,经过数据清洗后存放在这里,另包括百分比报表及增长报表，隐藏表格</t>
    <phoneticPr fontId="1" type="noConversion"/>
  </si>
  <si>
    <t>Qauterly</t>
    <phoneticPr fontId="1" type="noConversion"/>
  </si>
  <si>
    <t>将网抓数据按照季度分割后分别存放，隐藏表格</t>
    <phoneticPr fontId="1" type="noConversion"/>
  </si>
  <si>
    <t>单季同比</t>
    <phoneticPr fontId="1" type="noConversion"/>
  </si>
  <si>
    <t>报告同比</t>
    <phoneticPr fontId="1" type="noConversion"/>
  </si>
  <si>
    <t>当前季度</t>
    <phoneticPr fontId="1" type="noConversion"/>
  </si>
  <si>
    <t>去年同期</t>
    <phoneticPr fontId="1" type="noConversion"/>
  </si>
  <si>
    <t>单季同比%</t>
    <phoneticPr fontId="1" type="noConversion"/>
  </si>
  <si>
    <t>报告同比%</t>
    <phoneticPr fontId="1" type="noConversion"/>
  </si>
  <si>
    <t>归母利润</t>
    <phoneticPr fontId="1" type="noConversion"/>
  </si>
  <si>
    <t>基准线</t>
    <phoneticPr fontId="1" type="noConversion"/>
  </si>
  <si>
    <t>投资收益(+)</t>
    <phoneticPr fontId="1" type="noConversion"/>
  </si>
  <si>
    <t>营业收入(+)</t>
    <phoneticPr fontId="1" type="noConversion"/>
  </si>
  <si>
    <t>营业成本(-)</t>
    <phoneticPr fontId="1" type="noConversion"/>
  </si>
  <si>
    <t>销售费用(-)_</t>
    <phoneticPr fontId="1" type="noConversion"/>
  </si>
  <si>
    <t>管理费用(-)</t>
    <phoneticPr fontId="1" type="noConversion"/>
  </si>
  <si>
    <t>财务费用(-)</t>
    <phoneticPr fontId="1" type="noConversion"/>
  </si>
  <si>
    <t>资产减值(-)</t>
    <phoneticPr fontId="1" type="noConversion"/>
  </si>
  <si>
    <t>营业利润(=)</t>
    <phoneticPr fontId="1" type="noConversion"/>
  </si>
  <si>
    <t>营业外收入(+)</t>
    <phoneticPr fontId="1" type="noConversion"/>
  </si>
  <si>
    <t>营业外支出(-)</t>
    <phoneticPr fontId="1" type="noConversion"/>
  </si>
  <si>
    <t>净利润(=)</t>
    <phoneticPr fontId="1" type="noConversion"/>
  </si>
  <si>
    <t>说明：
本表格程式为Alpha版本，主要为同比及环比分析报表，主要用于解释利润从哪儿来及利润去哪儿了这样的哲学问题（注：有些上市公司可能会主动披露该表，如有披露，以上市公司披露为准）,特别注意：当报表类型为1季报时，!!!数据可能有误!!!
单位：除百分比外其余为人民币亿元</t>
    <phoneticPr fontId="1" type="noConversion"/>
  </si>
  <si>
    <t>环比%</t>
    <phoneticPr fontId="1" type="noConversion"/>
  </si>
  <si>
    <t>富安娜</t>
    <phoneticPr fontId="1" type="noConversion"/>
  </si>
  <si>
    <t>当前分析的上市公司是:2327/富安娜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</si>
</sst>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\-d"/>
    <numFmt numFmtId="177" formatCode="0.00_ "/>
    <numFmt numFmtId="178" formatCode="0.00_);[Red]\(0.00\)"/>
    <numFmt numFmtId="179" formatCode="#,##0.00_);[Red]\(#,##0.00\)"/>
    <numFmt numFmtId="180" formatCode="&quot;¥&quot;#,##0.00_);\(&quot;¥&quot;#,##0.00\)"/>
    <numFmt numFmtId="181" formatCode="#,##0.00_);\(#,##0.00\)"/>
  </numFmts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0"/>
      <color theme="1"/>
      <name val="宋体"/>
      <family val="2"/>
      <charset val="134"/>
      <scheme val="minor"/>
    </font>
    <font>
      <sz val="20"/>
      <color theme="1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9"/>
      <name val="宋体"/>
      <family val="3"/>
      <charset val="134"/>
    </font>
    <font>
      <sz val="11"/>
      <name val="Arial"/>
      <family val="2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等线"/>
      <family val="3"/>
      <charset val="134"/>
    </font>
    <font>
      <u val="double"/>
      <sz val="11"/>
      <color theme="1"/>
      <name val="宋体"/>
      <family val="2"/>
      <charset val="134"/>
      <scheme val="minor"/>
    </font>
    <font>
      <u val="double"/>
      <sz val="11"/>
      <color theme="1"/>
      <name val="宋体"/>
      <family val="3"/>
      <charset val="134"/>
      <scheme val="minor"/>
    </font>
    <font>
      <sz val="11"/>
      <color theme="1"/>
      <name val="华文行楷"/>
      <family val="3"/>
      <charset val="134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65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mediumDashDot">
        <color auto="1"/>
      </bottom>
      <diagonal/>
    </border>
    <border>
      <left/>
      <right/>
      <top style="mediumDashDot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0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14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4" xfId="0" applyBorder="1">
      <alignment vertical="center"/>
    </xf>
    <xf numFmtId="10" fontId="7" fillId="2" borderId="1" xfId="0" applyNumberFormat="1" applyFont="1" applyFill="1" applyBorder="1" applyAlignment="1">
      <alignment horizontal="right" vertical="center"/>
    </xf>
    <xf numFmtId="180" fontId="7" fillId="2" borderId="1" xfId="0" applyNumberFormat="1" applyFont="1" applyFill="1" applyBorder="1" applyAlignment="1">
      <alignment vertical="center"/>
    </xf>
    <xf numFmtId="180" fontId="5" fillId="2" borderId="1" xfId="0" applyNumberFormat="1" applyFont="1" applyFill="1" applyBorder="1" applyAlignment="1">
      <alignment horizontal="right" vertical="center"/>
    </xf>
    <xf numFmtId="178" fontId="7" fillId="2" borderId="1" xfId="0" applyNumberFormat="1" applyFont="1" applyFill="1" applyBorder="1" applyAlignment="1">
      <alignment horizontal="right" vertical="center"/>
    </xf>
    <xf numFmtId="180" fontId="7" fillId="2" borderId="1" xfId="0" applyNumberFormat="1" applyFont="1" applyFill="1" applyBorder="1" applyAlignment="1">
      <alignment horizontal="right" vertical="center"/>
    </xf>
    <xf numFmtId="181" fontId="7" fillId="2" borderId="1" xfId="0" applyNumberFormat="1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>
      <alignment vertical="center"/>
    </xf>
    <xf numFmtId="0" fontId="11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1" fillId="0" borderId="1" xfId="0" applyFont="1" applyFill="1" applyBorder="1">
      <alignment vertical="center"/>
    </xf>
    <xf numFmtId="177" fontId="0" fillId="0" borderId="1" xfId="0" applyNumberFormat="1" applyFill="1" applyBorder="1">
      <alignment vertical="center"/>
    </xf>
    <xf numFmtId="177" fontId="0" fillId="0" borderId="1" xfId="0" applyNumberFormat="1" applyBorder="1" applyAlignment="1">
      <alignment horizontal="right" vertical="center"/>
    </xf>
    <xf numFmtId="0" fontId="0" fillId="0" borderId="14" xfId="0" applyBorder="1">
      <alignment vertical="center"/>
    </xf>
    <xf numFmtId="0" fontId="12" fillId="0" borderId="1" xfId="0" quotePrefix="1" applyFont="1" applyBorder="1" applyAlignment="1">
      <alignment horizontal="left" vertical="center"/>
    </xf>
    <xf numFmtId="0" fontId="0" fillId="0" borderId="1" xfId="0" applyBorder="1">
      <alignment vertical="center"/>
    </xf>
    <xf numFmtId="0" fontId="11" fillId="0" borderId="1" xfId="0" applyFont="1" applyBorder="1">
      <alignment vertical="center"/>
    </xf>
    <xf numFmtId="10" fontId="7" fillId="2" borderId="1" xfId="0" applyNumberFormat="1" applyFont="1" applyFill="1" applyBorder="1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left" vertical="center"/>
    </xf>
    <xf numFmtId="0" fontId="2" fillId="0" borderId="0" xfId="0" applyFont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0" fontId="11" fillId="0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  <xf numFmtId="0" fontId="10" fillId="0" borderId="1" xfId="0" applyFont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0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>
      <alignment vertical="center"/>
    </xf>
    <xf numFmtId="10" fontId="0" fillId="0" borderId="4" xfId="0" applyNumberFormat="1" applyBorder="1" applyAlignment="1">
      <alignment horizontal="right" vertical="center"/>
    </xf>
    <xf numFmtId="10" fontId="0" fillId="0" borderId="5" xfId="0" applyNumberFormat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0" fillId="0" borderId="1" xfId="0" applyFont="1" applyFill="1" applyBorder="1" applyAlignment="1">
      <alignment horizontal="left" vertical="center"/>
    </xf>
    <xf numFmtId="177" fontId="10" fillId="0" borderId="1" xfId="0" applyNumberFormat="1" applyFont="1" applyFill="1" applyBorder="1" applyAlignment="1">
      <alignment horizontal="right" vertical="center"/>
    </xf>
    <xf numFmtId="177" fontId="10" fillId="0" borderId="1" xfId="0" applyNumberFormat="1" applyFont="1" applyBorder="1">
      <alignment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right" vertical="center"/>
    </xf>
    <xf numFmtId="0" fontId="15" fillId="0" borderId="5" xfId="0" applyFont="1" applyFill="1" applyBorder="1" applyAlignment="1">
      <alignment horizontal="right" vertical="center"/>
    </xf>
    <xf numFmtId="0" fontId="15" fillId="0" borderId="1" xfId="0" applyFont="1" applyFill="1" applyBorder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0" fontId="10" fillId="0" borderId="1" xfId="0" applyNumberFormat="1" applyFont="1" applyBorder="1">
      <alignment vertical="center"/>
    </xf>
    <xf numFmtId="0" fontId="10" fillId="0" borderId="4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16" fillId="0" borderId="0" xfId="0" applyFont="1">
      <alignment vertical="center"/>
    </xf>
    <xf numFmtId="177" fontId="0" fillId="0" borderId="0" xfId="0" applyNumberFormat="1" applyBorder="1">
      <alignment vertical="center"/>
    </xf>
    <xf numFmtId="0" fontId="10" fillId="0" borderId="0" xfId="0" applyFont="1" applyBorder="1">
      <alignment vertical="center"/>
    </xf>
    <xf numFmtId="0" fontId="0" fillId="0" borderId="0" xfId="0" applyBorder="1" applyAlignment="1">
      <alignment horizontal="right" vertical="center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horizontal="right" vertical="center"/>
    </xf>
    <xf numFmtId="177" fontId="0" fillId="0" borderId="0" xfId="0" applyNumberFormat="1" applyFill="1" applyBorder="1">
      <alignment vertical="center"/>
    </xf>
    <xf numFmtId="177" fontId="0" fillId="0" borderId="0" xfId="0" applyNumberFormat="1" applyBorder="1" applyAlignment="1">
      <alignment horizontal="right" vertical="center"/>
    </xf>
    <xf numFmtId="177" fontId="10" fillId="0" borderId="0" xfId="0" applyNumberFormat="1" applyFont="1" applyBorder="1">
      <alignment vertical="center"/>
    </xf>
    <xf numFmtId="177" fontId="10" fillId="0" borderId="0" xfId="0" applyNumberFormat="1" applyFont="1" applyFill="1" applyBorder="1">
      <alignment vertical="center"/>
    </xf>
    <xf numFmtId="0" fontId="15" fillId="0" borderId="0" xfId="0" applyFont="1" applyBorder="1">
      <alignment vertical="center"/>
    </xf>
    <xf numFmtId="10" fontId="10" fillId="0" borderId="0" xfId="0" applyNumberFormat="1" applyFont="1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1" fillId="0" borderId="2" xfId="0" applyFont="1" applyFill="1" applyBorder="1">
      <alignment vertical="center"/>
    </xf>
    <xf numFmtId="0" fontId="11" fillId="0" borderId="1" xfId="0" applyFont="1" applyBorder="1">
      <alignment vertical="center"/>
    </xf>
    <xf numFmtId="0" fontId="0" fillId="0" borderId="1" xfId="0" applyBorder="1">
      <alignment vertical="center"/>
    </xf>
    <xf numFmtId="180" fontId="7" fillId="2" borderId="1" xfId="0" applyNumberFormat="1" applyFont="1" applyFill="1" applyBorder="1" applyAlignment="1">
      <alignment horizontal="right" vertical="center"/>
    </xf>
    <xf numFmtId="0" fontId="10" fillId="0" borderId="1" xfId="0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0" fontId="9" fillId="2" borderId="1" xfId="0" applyNumberFormat="1" applyFont="1" applyFill="1" applyBorder="1" applyAlignment="1">
      <alignment horizontal="right" vertical="center"/>
    </xf>
    <xf numFmtId="10" fontId="7" fillId="2" borderId="1" xfId="0" applyNumberFormat="1" applyFont="1" applyFill="1" applyBorder="1" applyAlignment="1">
      <alignment horizontal="right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10" fontId="0" fillId="0" borderId="4" xfId="0" applyNumberFormat="1" applyBorder="1" applyAlignment="1">
      <alignment horizontal="right" vertical="center"/>
    </xf>
    <xf numFmtId="10" fontId="0" fillId="0" borderId="5" xfId="0" applyNumberFormat="1" applyBorder="1" applyAlignment="1">
      <alignment horizontal="right" vertical="center"/>
    </xf>
    <xf numFmtId="0" fontId="14" fillId="0" borderId="16" xfId="0" applyFont="1" applyBorder="1" applyAlignment="1">
      <alignment horizontal="right" vertical="center"/>
    </xf>
    <xf numFmtId="0" fontId="10" fillId="0" borderId="4" xfId="0" applyFont="1" applyFill="1" applyBorder="1" applyAlignment="1">
      <alignment horizontal="right" vertical="center"/>
    </xf>
    <xf numFmtId="0" fontId="10" fillId="0" borderId="5" xfId="0" applyFont="1" applyFill="1" applyBorder="1" applyAlignment="1">
      <alignment horizontal="right" vertical="center"/>
    </xf>
    <xf numFmtId="0" fontId="18" fillId="0" borderId="15" xfId="0" applyFont="1" applyBorder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10" fillId="0" borderId="3" xfId="0" applyNumberFormat="1" applyFont="1" applyBorder="1" applyAlignment="1">
      <alignment horizontal="center" vertical="center"/>
    </xf>
    <xf numFmtId="177" fontId="10" fillId="0" borderId="5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right" vertical="center"/>
    </xf>
    <xf numFmtId="0" fontId="15" fillId="0" borderId="5" xfId="0" applyFont="1" applyFill="1" applyBorder="1" applyAlignment="1">
      <alignment horizontal="right" vertical="center"/>
    </xf>
    <xf numFmtId="0" fontId="0" fillId="0" borderId="4" xfId="0" applyFill="1" applyBorder="1" applyAlignment="1">
      <alignment horizontal="right" vertical="center"/>
    </xf>
    <xf numFmtId="0" fontId="0" fillId="0" borderId="5" xfId="0" applyFill="1" applyBorder="1" applyAlignment="1">
      <alignment horizontal="right" vertic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horizontal="left" vertical="center" wrapText="1"/>
    </xf>
    <xf numFmtId="0" fontId="0" fillId="0" borderId="4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7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常规" xfId="0" builtinId="0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righ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23813</xdr:colOff>
          <xdr:row>6</xdr:row>
          <xdr:rowOff>38100</xdr:rowOff>
        </xdr:from>
        <xdr:to>
          <xdr:col>3</xdr:col>
          <xdr:colOff>819150</xdr:colOff>
          <xdr:row>6</xdr:row>
          <xdr:rowOff>328613</xdr:rowOff>
        </xdr:to>
        <xdr:sp macro="" textlink="">
          <xdr:nvSpPr>
            <xdr:cNvPr id="3075" name="cbUpdat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表3" displayName="表3" ref="B4:N17" headerRowCount="0" totalsRowShown="0" headerRowDxfId="25">
  <tableColumns count="13">
    <tableColumn id="1" name="列1" headerRowDxfId="24"/>
    <tableColumn id="2" name="列2" headerRowDxfId="23" dataDxfId="22"/>
    <tableColumn id="3" name="列3" headerRowDxfId="21" dataDxfId="20"/>
    <tableColumn id="4" name="列4" headerRowDxfId="19" dataDxfId="18"/>
    <tableColumn id="5" name="列5" headerRowDxfId="17" dataDxfId="16"/>
    <tableColumn id="6" name="列6" headerRowDxfId="15" dataDxfId="14">
      <calculatedColumnFormula>C4-E4</calculatedColumnFormula>
    </tableColumn>
    <tableColumn id="7" name="列7" headerRowDxfId="13" dataDxfId="12">
      <calculatedColumnFormula>D4-F4</calculatedColumnFormula>
    </tableColumn>
    <tableColumn id="10" name="列10" headerRowDxfId="11" dataDxfId="10"/>
    <tableColumn id="12" name="列11" headerRowDxfId="9" dataDxfId="8"/>
    <tableColumn id="9" name="列9" headerRowDxfId="7" dataDxfId="6">
      <calculatedColumnFormula>G4-E4</calculatedColumnFormula>
    </tableColumn>
    <tableColumn id="8" name="列13" headerRowDxfId="1" dataDxfId="0"/>
    <tableColumn id="11" name="列8" headerRowDxfId="5" dataDxfId="4"/>
    <tableColumn id="13" name="列12" headerRowDxfId="3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G25"/>
  <sheetViews>
    <sheetView showGridLines="0" zoomScale="106" zoomScaleNormal="106" workbookViewId="0">
      <selection activeCell="C5" sqref="C5"/>
    </sheetView>
  </sheetViews>
  <sheetFormatPr defaultColWidth="0" defaultRowHeight="13.5" zeroHeight="1" x14ac:dyDescent="0.3"/>
  <cols>
    <col min="1" max="1" width="9.06640625" customWidth="1"/>
    <col min="2" max="2" width="14.06640625" customWidth="1"/>
    <col min="3" max="3" width="10.59765625" style="24" customWidth="1"/>
    <col min="4" max="4" width="14.265625" customWidth="1"/>
    <col min="5" max="5" width="9.06640625" customWidth="1"/>
    <col min="6" max="6" width="16.796875" customWidth="1"/>
    <col min="7" max="7" width="9.06640625" customWidth="1"/>
    <col min="8" max="16384" width="9.06640625" hidden="1"/>
  </cols>
  <sheetData>
    <row r="1" spans="1:7" ht="36" customHeight="1" thickTop="1" x14ac:dyDescent="0.3">
      <c r="A1" s="25"/>
      <c r="B1" s="101" t="s">
        <v>755</v>
      </c>
      <c r="C1" s="102"/>
      <c r="D1" s="102"/>
      <c r="E1" s="102"/>
      <c r="F1" s="102"/>
      <c r="G1" s="26"/>
    </row>
    <row r="2" spans="1:7" ht="20.2" customHeight="1" x14ac:dyDescent="0.3">
      <c r="A2" s="27"/>
      <c r="B2" s="42" t="s">
        <v>282</v>
      </c>
      <c r="C2" s="33" t="s">
        <v>283</v>
      </c>
      <c r="D2" s="106" t="s">
        <v>284</v>
      </c>
      <c r="E2" s="106"/>
      <c r="F2" s="106"/>
      <c r="G2" s="28"/>
    </row>
    <row r="3" spans="1:7" ht="20.2" customHeight="1" x14ac:dyDescent="0.3">
      <c r="A3" s="27"/>
      <c r="B3" s="42" t="s">
        <v>0</v>
      </c>
      <c r="C3" s="40">
        <v>2327</v>
      </c>
      <c r="D3" s="107" t="s">
        <v>297</v>
      </c>
      <c r="E3" s="107"/>
      <c r="F3" s="107"/>
      <c r="G3" s="28"/>
    </row>
    <row r="4" spans="1:7" ht="20.2" customHeight="1" x14ac:dyDescent="0.3">
      <c r="A4" s="27"/>
      <c r="B4" s="42" t="s">
        <v>280</v>
      </c>
      <c r="C4" s="34">
        <v>2</v>
      </c>
      <c r="D4" s="107" t="s">
        <v>345</v>
      </c>
      <c r="E4" s="107"/>
      <c r="F4" s="107"/>
      <c r="G4" s="28"/>
    </row>
    <row r="5" spans="1:7" ht="20.2" customHeight="1" x14ac:dyDescent="0.3">
      <c r="A5" s="27"/>
      <c r="B5" s="42" t="s">
        <v>281</v>
      </c>
      <c r="C5" s="35">
        <v>4</v>
      </c>
      <c r="D5" s="107" t="s">
        <v>285</v>
      </c>
      <c r="E5" s="107"/>
      <c r="F5" s="107"/>
      <c r="G5" s="28"/>
    </row>
    <row r="6" spans="1:7" ht="20.2" customHeight="1" x14ac:dyDescent="0.3">
      <c r="A6" s="27"/>
      <c r="B6" s="42" t="s">
        <v>756</v>
      </c>
      <c r="C6" s="103" t="s">
        <v>786</v>
      </c>
      <c r="D6" s="103"/>
      <c r="E6" s="103"/>
      <c r="F6" s="104"/>
      <c r="G6" s="28"/>
    </row>
    <row r="7" spans="1:7" ht="28.05" customHeight="1" x14ac:dyDescent="0.3">
      <c r="A7" s="27"/>
      <c r="B7" s="98"/>
      <c r="C7" s="99"/>
      <c r="D7" s="99"/>
      <c r="E7" s="99"/>
      <c r="F7" s="100"/>
      <c r="G7" s="28"/>
    </row>
    <row r="8" spans="1:7" ht="20.2" customHeight="1" thickBot="1" x14ac:dyDescent="0.35">
      <c r="A8" s="27"/>
      <c r="B8" s="39"/>
      <c r="C8" s="39"/>
      <c r="D8" s="39"/>
      <c r="E8" s="39"/>
      <c r="F8" s="39"/>
      <c r="G8" s="28"/>
    </row>
    <row r="9" spans="1:7" ht="24" customHeight="1" x14ac:dyDescent="0.3">
      <c r="A9" s="27"/>
      <c r="B9" s="105" t="s">
        <v>290</v>
      </c>
      <c r="C9" s="105"/>
      <c r="D9" s="105"/>
      <c r="E9" s="105"/>
      <c r="F9" s="105"/>
      <c r="G9" s="28"/>
    </row>
    <row r="10" spans="1:7" ht="20.2" customHeight="1" x14ac:dyDescent="0.3">
      <c r="A10" s="27"/>
      <c r="B10" s="36" t="s">
        <v>286</v>
      </c>
      <c r="C10" s="13">
        <v>0.15</v>
      </c>
      <c r="D10" s="98" t="s">
        <v>291</v>
      </c>
      <c r="E10" s="99"/>
      <c r="F10" s="100"/>
      <c r="G10" s="28"/>
    </row>
    <row r="11" spans="1:7" ht="20.2" customHeight="1" x14ac:dyDescent="0.3">
      <c r="A11" s="27"/>
      <c r="B11" s="36" t="s">
        <v>287</v>
      </c>
      <c r="C11" s="13">
        <v>20</v>
      </c>
      <c r="D11" s="98" t="s">
        <v>292</v>
      </c>
      <c r="E11" s="99"/>
      <c r="F11" s="100"/>
      <c r="G11" s="28"/>
    </row>
    <row r="12" spans="1:7" ht="20.2" customHeight="1" x14ac:dyDescent="0.3">
      <c r="A12" s="27"/>
      <c r="B12" s="36" t="s">
        <v>288</v>
      </c>
      <c r="C12" s="13">
        <v>25</v>
      </c>
      <c r="D12" s="98" t="s">
        <v>293</v>
      </c>
      <c r="E12" s="99"/>
      <c r="F12" s="100"/>
      <c r="G12" s="28"/>
    </row>
    <row r="13" spans="1:7" ht="20.2" customHeight="1" x14ac:dyDescent="0.3">
      <c r="A13" s="27"/>
      <c r="B13" s="36" t="s">
        <v>296</v>
      </c>
      <c r="C13" s="37">
        <v>30</v>
      </c>
      <c r="D13" s="98" t="s">
        <v>294</v>
      </c>
      <c r="E13" s="99"/>
      <c r="F13" s="100"/>
      <c r="G13" s="28"/>
    </row>
    <row r="14" spans="1:7" ht="20.2" customHeight="1" x14ac:dyDescent="0.3">
      <c r="A14" s="27"/>
      <c r="B14" s="36" t="s">
        <v>289</v>
      </c>
      <c r="C14" s="38">
        <v>35</v>
      </c>
      <c r="D14" s="98" t="s">
        <v>295</v>
      </c>
      <c r="E14" s="99"/>
      <c r="F14" s="100"/>
      <c r="G14" s="28"/>
    </row>
    <row r="15" spans="1:7" ht="20.2" customHeight="1" thickBot="1" x14ac:dyDescent="0.35">
      <c r="A15" s="27"/>
      <c r="B15" s="39"/>
      <c r="C15" s="52"/>
      <c r="D15" s="39"/>
      <c r="E15" s="39"/>
      <c r="F15" s="39"/>
      <c r="G15" s="28"/>
    </row>
    <row r="16" spans="1:7" ht="20.2" customHeight="1" x14ac:dyDescent="0.3">
      <c r="A16" s="27"/>
      <c r="B16" s="51" t="s">
        <v>619</v>
      </c>
      <c r="C16" s="45"/>
      <c r="D16" s="44"/>
      <c r="E16" s="44"/>
      <c r="F16" s="44"/>
      <c r="G16" s="28"/>
    </row>
    <row r="17" spans="1:7" ht="20.2" customHeight="1" x14ac:dyDescent="0.3">
      <c r="A17" s="27"/>
      <c r="B17" s="36" t="s">
        <v>620</v>
      </c>
      <c r="C17" s="8" t="s">
        <v>785</v>
      </c>
      <c r="D17" s="53" t="s">
        <v>621</v>
      </c>
      <c r="E17" s="13">
        <v>8.49</v>
      </c>
      <c r="F17" s="46"/>
      <c r="G17" s="28"/>
    </row>
    <row r="18" spans="1:7" ht="20.2" customHeight="1" x14ac:dyDescent="0.3">
      <c r="A18" s="27"/>
      <c r="B18" s="36" t="s">
        <v>627</v>
      </c>
      <c r="C18" s="38">
        <v>17.23</v>
      </c>
      <c r="D18" s="53" t="s">
        <v>622</v>
      </c>
      <c r="E18" s="13">
        <f>MarketCap*10000/VLOOKUP("净利润*",is_Q4,2,0)</f>
        <v>16.807890301125237</v>
      </c>
      <c r="F18" s="46"/>
      <c r="G18" s="28"/>
    </row>
    <row r="19" spans="1:7" ht="20.2" customHeight="1" x14ac:dyDescent="0.3">
      <c r="A19" s="27"/>
      <c r="B19" s="36" t="s">
        <v>623</v>
      </c>
      <c r="C19" s="38">
        <f>IF(PE_TTM/(O_Growth1*100)&gt;0,PE_TTM/(O_Growth1*100),0)</f>
        <v>0</v>
      </c>
      <c r="D19" s="53" t="s">
        <v>624</v>
      </c>
      <c r="E19" s="13">
        <f>PE_TTM/O_Growth2/100</f>
        <v>79.24269517315507</v>
      </c>
      <c r="F19" s="46"/>
      <c r="G19" s="28"/>
    </row>
    <row r="20" spans="1:7" ht="20.2" customHeight="1" x14ac:dyDescent="0.3">
      <c r="A20" s="27"/>
      <c r="B20" s="36" t="s">
        <v>625</v>
      </c>
      <c r="C20" s="38">
        <f>C23/O_Growth1/100</f>
        <v>-1.2070860406522192</v>
      </c>
      <c r="D20" s="54" t="s">
        <v>626</v>
      </c>
      <c r="E20" s="13">
        <f>C23/O_Growth2/100</f>
        <v>35.303441712299559</v>
      </c>
      <c r="F20" s="46"/>
      <c r="G20" s="28"/>
    </row>
    <row r="21" spans="1:7" ht="20.2" customHeight="1" x14ac:dyDescent="0.3">
      <c r="A21" s="27"/>
      <c r="B21" s="36" t="s">
        <v>628</v>
      </c>
      <c r="C21" s="38">
        <v>2.61</v>
      </c>
      <c r="D21" s="54" t="s">
        <v>629</v>
      </c>
      <c r="E21" s="13">
        <v>8.69</v>
      </c>
      <c r="F21" s="46"/>
      <c r="G21" s="28"/>
    </row>
    <row r="22" spans="1:7" ht="20.2" customHeight="1" x14ac:dyDescent="0.3">
      <c r="A22" s="27"/>
      <c r="B22" s="36" t="s">
        <v>630</v>
      </c>
      <c r="C22" s="38">
        <v>73.790000000000006</v>
      </c>
      <c r="D22" s="54" t="s">
        <v>631</v>
      </c>
      <c r="E22" s="13">
        <v>0.55000000000000004</v>
      </c>
      <c r="F22" s="46"/>
      <c r="G22" s="28"/>
    </row>
    <row r="23" spans="1:7" ht="20.2" customHeight="1" x14ac:dyDescent="0.3">
      <c r="A23" s="27"/>
      <c r="B23" s="36" t="s">
        <v>632</v>
      </c>
      <c r="C23" s="38">
        <f>MarketCap*10000/VLOOKUP("营业收入*",Source!isa,2,0)</f>
        <v>7.6761435154844024</v>
      </c>
      <c r="D23" s="54" t="s">
        <v>637</v>
      </c>
      <c r="E23" s="13">
        <f>PB/PE_TTM</f>
        <v>0.15147997678467787</v>
      </c>
      <c r="F23" s="46"/>
      <c r="G23" s="28"/>
    </row>
    <row r="24" spans="1:7" x14ac:dyDescent="0.3">
      <c r="A24" s="27"/>
      <c r="B24" s="44"/>
      <c r="C24" s="45"/>
      <c r="D24" s="44"/>
      <c r="E24" s="44"/>
      <c r="F24" s="44"/>
      <c r="G24" s="28"/>
    </row>
    <row r="25" spans="1:7" ht="13.9" thickBot="1" x14ac:dyDescent="0.35">
      <c r="A25" s="29"/>
      <c r="B25" s="30"/>
      <c r="C25" s="31"/>
      <c r="D25" s="30"/>
      <c r="E25" s="30"/>
      <c r="F25" s="30"/>
      <c r="G25" s="32"/>
    </row>
  </sheetData>
  <mergeCells count="13">
    <mergeCell ref="B1:F1"/>
    <mergeCell ref="C6:F6"/>
    <mergeCell ref="B9:F9"/>
    <mergeCell ref="D2:F2"/>
    <mergeCell ref="D3:F3"/>
    <mergeCell ref="D4:F4"/>
    <mergeCell ref="D5:F5"/>
    <mergeCell ref="B7:F7"/>
    <mergeCell ref="D10:F10"/>
    <mergeCell ref="D11:F11"/>
    <mergeCell ref="D12:F12"/>
    <mergeCell ref="D13:F13"/>
    <mergeCell ref="D14:F1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bUpdateTable">
          <controlPr defaultSize="0" autoLine="0" r:id="rId4">
            <anchor moveWithCells="1">
              <from>
                <xdr:col>3</xdr:col>
                <xdr:colOff>23813</xdr:colOff>
                <xdr:row>6</xdr:row>
                <xdr:rowOff>38100</xdr:rowOff>
              </from>
              <to>
                <xdr:col>3</xdr:col>
                <xdr:colOff>819150</xdr:colOff>
                <xdr:row>6</xdr:row>
                <xdr:rowOff>328613</xdr:rowOff>
              </to>
            </anchor>
          </controlPr>
        </control>
      </mc:Choice>
      <mc:Fallback>
        <control shapeId="3075" r:id="rId3" name="cbUpdateTa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J22"/>
  <sheetViews>
    <sheetView showGridLines="0" topLeftCell="B7" zoomScale="106" zoomScaleNormal="106" workbookViewId="0">
      <selection activeCell="G22" sqref="G22"/>
    </sheetView>
  </sheetViews>
  <sheetFormatPr defaultColWidth="0" defaultRowHeight="13.5" zeroHeight="1" x14ac:dyDescent="0.3"/>
  <cols>
    <col min="1" max="1" width="9.06640625" customWidth="1"/>
    <col min="2" max="2" width="34.59765625" bestFit="1" customWidth="1"/>
    <col min="3" max="3" width="15.59765625" customWidth="1"/>
    <col min="4" max="4" width="9.06640625" customWidth="1"/>
    <col min="5" max="5" width="8.796875" customWidth="1"/>
    <col min="6" max="6" width="9" bestFit="1" customWidth="1"/>
    <col min="7" max="7" width="8.73046875" bestFit="1" customWidth="1"/>
    <col min="8" max="10" width="7.796875" hidden="1" customWidth="1"/>
    <col min="11" max="16384" width="9.06640625" hidden="1"/>
  </cols>
  <sheetData>
    <row r="1" spans="2:6" x14ac:dyDescent="0.3"/>
    <row r="2" spans="2:6" ht="20.2" customHeight="1" x14ac:dyDescent="0.3">
      <c r="B2" s="109" t="s">
        <v>275</v>
      </c>
      <c r="C2" s="109"/>
      <c r="D2" s="109"/>
      <c r="E2" s="109"/>
      <c r="F2" s="109"/>
    </row>
    <row r="3" spans="2:6" ht="20.2" customHeight="1" x14ac:dyDescent="0.3">
      <c r="B3" s="22" t="s">
        <v>261</v>
      </c>
      <c r="C3" s="110">
        <f>StockCode</f>
        <v>2327</v>
      </c>
      <c r="D3" s="110"/>
      <c r="E3" s="110"/>
      <c r="F3" s="110"/>
    </row>
    <row r="4" spans="2:6" ht="20.2" customHeight="1" x14ac:dyDescent="0.3">
      <c r="B4" s="22" t="s">
        <v>262</v>
      </c>
      <c r="C4" s="16">
        <f>O_Growth2</f>
        <v>2.1743329100998299E-3</v>
      </c>
      <c r="D4" s="111" t="s">
        <v>278</v>
      </c>
      <c r="E4" s="111"/>
      <c r="F4" s="111"/>
    </row>
    <row r="5" spans="2:6" ht="20.2" customHeight="1" x14ac:dyDescent="0.3">
      <c r="B5" s="22" t="s">
        <v>263</v>
      </c>
      <c r="C5" s="17">
        <f ca="1">IFERROR(vl("iss40",3)/Shares/2500/RPTYPE*POWER(1+C4,3),0)</f>
        <v>0.36738028379274151</v>
      </c>
      <c r="D5" s="18" t="s">
        <v>264</v>
      </c>
      <c r="E5" s="17">
        <f>LatestPrice</f>
        <v>8.49</v>
      </c>
      <c r="F5" s="17"/>
    </row>
    <row r="6" spans="2:6" ht="20.2" customHeight="1" x14ac:dyDescent="0.3">
      <c r="B6" s="22" t="s">
        <v>265</v>
      </c>
      <c r="C6" s="19">
        <f>PE_TTM</f>
        <v>17.23</v>
      </c>
      <c r="D6" s="19">
        <f>ROUND(C6,0)</f>
        <v>17</v>
      </c>
      <c r="E6" s="19">
        <f>ROUND(C6,0)-5</f>
        <v>12</v>
      </c>
      <c r="F6" s="19">
        <f>ROUND(C6,0)+5</f>
        <v>22</v>
      </c>
    </row>
    <row r="7" spans="2:6" ht="20.2" customHeight="1" x14ac:dyDescent="0.3">
      <c r="B7" s="22" t="s">
        <v>276</v>
      </c>
      <c r="C7" s="19">
        <f ca="1">C6*$C$5</f>
        <v>6.329962289748936</v>
      </c>
      <c r="D7" s="20">
        <f ca="1">D6*$C$5</f>
        <v>6.2454648244766053</v>
      </c>
      <c r="E7" s="19">
        <f ca="1">E6*$C$5</f>
        <v>4.4085634055128979</v>
      </c>
      <c r="F7" s="19">
        <f ca="1">F6*$C$5</f>
        <v>8.0823662434403136</v>
      </c>
    </row>
    <row r="8" spans="2:6" ht="20.2" customHeight="1" x14ac:dyDescent="0.3">
      <c r="B8" s="22" t="s">
        <v>266</v>
      </c>
      <c r="C8" s="20">
        <f ca="1">C7/POWER(1.1,3)</f>
        <v>4.7557943574372157</v>
      </c>
      <c r="D8" s="20">
        <f ca="1">D7/POWER(1.1,3)</f>
        <v>4.6923101611394467</v>
      </c>
      <c r="E8" s="20">
        <f ca="1">E7/POWER(1.1,3)</f>
        <v>3.3122189372749036</v>
      </c>
      <c r="F8" s="20">
        <f ca="1">F7/POWER(1.1,3)</f>
        <v>6.0724013850039906</v>
      </c>
    </row>
    <row r="9" spans="2:6" ht="20.2" customHeight="1" x14ac:dyDescent="0.3">
      <c r="B9" s="22" t="s">
        <v>267</v>
      </c>
      <c r="C9" s="20">
        <f ca="1">C7/POWER(1.15,3)</f>
        <v>4.1620529561922828</v>
      </c>
      <c r="D9" s="20">
        <f ca="1">D7/POWER(1.15,3)</f>
        <v>4.1064945011763667</v>
      </c>
      <c r="E9" s="20">
        <f ca="1">E7/POWER(1.15,3)</f>
        <v>2.8987020008303768</v>
      </c>
      <c r="F9" s="20">
        <f ca="1">F7/POWER(1.15,3)</f>
        <v>5.3142870015223576</v>
      </c>
    </row>
    <row r="10" spans="2:6" ht="20.2" customHeight="1" x14ac:dyDescent="0.3">
      <c r="B10" s="22" t="s">
        <v>268</v>
      </c>
      <c r="C10" s="20">
        <f ca="1">C7/POWER(1.26,3)</f>
        <v>3.1643862402612988</v>
      </c>
      <c r="D10" s="20">
        <f ca="1">D7/POWER(1.26,3)</f>
        <v>3.1221454488939102</v>
      </c>
      <c r="E10" s="20">
        <f ca="1">E7/POWER(1.26,3)</f>
        <v>2.2038673756898191</v>
      </c>
      <c r="F10" s="20">
        <f ca="1">F7/POWER(1.26,3)</f>
        <v>4.0404235220980018</v>
      </c>
    </row>
    <row r="11" spans="2:6" ht="20.2" customHeight="1" x14ac:dyDescent="0.3">
      <c r="B11" s="22" t="s">
        <v>269</v>
      </c>
      <c r="C11" s="16">
        <f ca="1">POWER(C7/LatestPrice,1/3)-1</f>
        <v>-9.3228606224579624E-2</v>
      </c>
      <c r="D11" s="43">
        <f ca="1">POWER(D7/LatestPrice,1/3)-1</f>
        <v>-9.7281466782995984E-2</v>
      </c>
      <c r="E11" s="43">
        <f ca="1">POWER(E7/LatestPrice,1/3)-1</f>
        <v>-0.19623368693288556</v>
      </c>
      <c r="F11" s="43">
        <f ca="1">POWER(F7/LatestPrice,1/3)-1</f>
        <v>-1.6267668319415951E-2</v>
      </c>
    </row>
    <row r="12" spans="2:6" ht="20.2" customHeight="1" x14ac:dyDescent="0.3">
      <c r="B12" s="112" t="s">
        <v>270</v>
      </c>
      <c r="C12" s="112"/>
      <c r="D12" s="112"/>
      <c r="E12" s="112"/>
      <c r="F12" s="112"/>
    </row>
    <row r="13" spans="2:6" ht="20.2" customHeight="1" x14ac:dyDescent="0.3">
      <c r="B13" s="22" t="s">
        <v>271</v>
      </c>
      <c r="C13" s="16">
        <f>Command!C10</f>
        <v>0.15</v>
      </c>
      <c r="D13" s="113" t="s">
        <v>272</v>
      </c>
      <c r="E13" s="114"/>
      <c r="F13" s="114"/>
    </row>
    <row r="14" spans="2:6" ht="20.2" customHeight="1" x14ac:dyDescent="0.3">
      <c r="B14" s="22" t="s">
        <v>273</v>
      </c>
      <c r="C14" s="20">
        <f ca="1">IFERROR((vl("iss40",3)/2500/Command!C4/Shares*POWER(1+C13,3)),0)</f>
        <v>0.55511062428078239</v>
      </c>
      <c r="D14" s="108"/>
      <c r="E14" s="108"/>
      <c r="F14" s="108"/>
    </row>
    <row r="15" spans="2:6" ht="20.2" customHeight="1" x14ac:dyDescent="0.3">
      <c r="B15" s="22" t="s">
        <v>279</v>
      </c>
      <c r="C15" s="21">
        <f>Command!C11</f>
        <v>20</v>
      </c>
      <c r="D15" s="21">
        <f>Command!C12</f>
        <v>25</v>
      </c>
      <c r="E15" s="21">
        <f>Command!C13</f>
        <v>30</v>
      </c>
      <c r="F15" s="21">
        <f>Command!C14</f>
        <v>35</v>
      </c>
    </row>
    <row r="16" spans="2:6" ht="20.2" customHeight="1" x14ac:dyDescent="0.3">
      <c r="B16" s="22" t="s">
        <v>277</v>
      </c>
      <c r="C16" s="20">
        <f ca="1">$C$14*C15</f>
        <v>11.102212485615649</v>
      </c>
      <c r="D16" s="20">
        <f ca="1">$C$14*D15</f>
        <v>13.87776560701956</v>
      </c>
      <c r="E16" s="20">
        <f ca="1">$C$14*E15</f>
        <v>16.653318728423471</v>
      </c>
      <c r="F16" s="20">
        <f ca="1">$C$14*F15</f>
        <v>19.428871849827384</v>
      </c>
    </row>
    <row r="17" spans="2:6" ht="20.2" customHeight="1" x14ac:dyDescent="0.3">
      <c r="B17" s="22" t="s">
        <v>266</v>
      </c>
      <c r="C17" s="20">
        <f ca="1">C16/POWER(1.1,3)</f>
        <v>8.3412565631973301</v>
      </c>
      <c r="D17" s="20">
        <f ca="1">D16/POWER(1.1,3)</f>
        <v>10.426570703996662</v>
      </c>
      <c r="E17" s="20">
        <f ca="1">E16/POWER(1.1,3)</f>
        <v>12.511884844795993</v>
      </c>
      <c r="F17" s="20">
        <f ca="1">F16/POWER(1.1,3)</f>
        <v>14.597198985595325</v>
      </c>
    </row>
    <row r="18" spans="2:6" ht="20.2" customHeight="1" x14ac:dyDescent="0.3">
      <c r="B18" s="22" t="s">
        <v>267</v>
      </c>
      <c r="C18" s="20">
        <f ca="1">C16/POWER(1.15,3)</f>
        <v>7.2998849252013827</v>
      </c>
      <c r="D18" s="20">
        <f ca="1">D16/POWER(1.15,3)</f>
        <v>9.1248561565017265</v>
      </c>
      <c r="E18" s="20">
        <f ca="1">E16/POWER(1.15,3)</f>
        <v>10.949827387802072</v>
      </c>
      <c r="F18" s="20">
        <f ca="1">F16/POWER(1.15,3)</f>
        <v>12.774798619102418</v>
      </c>
    </row>
    <row r="19" spans="2:6" ht="20.2" customHeight="1" x14ac:dyDescent="0.3">
      <c r="B19" s="22" t="s">
        <v>268</v>
      </c>
      <c r="C19" s="20">
        <f ca="1">C16/POWER(1.26,3)</f>
        <v>5.5500628309955964</v>
      </c>
      <c r="D19" s="20">
        <f ca="1">D16/POWER(1.26,3)</f>
        <v>6.9375785387444955</v>
      </c>
      <c r="E19" s="20">
        <f ca="1">E16/POWER(1.26,3)</f>
        <v>8.3250942464933946</v>
      </c>
      <c r="F19" s="20">
        <f ca="1">F16/POWER(1.26,3)</f>
        <v>9.7126099542422946</v>
      </c>
    </row>
    <row r="20" spans="2:6" ht="20.2" customHeight="1" x14ac:dyDescent="0.3">
      <c r="B20" s="22" t="s">
        <v>274</v>
      </c>
      <c r="C20" s="16">
        <f ca="1">POWER(C16/LatestPrice,1/3)-1</f>
        <v>9.3538173933813695E-2</v>
      </c>
      <c r="D20" s="43">
        <f ca="1">POWER(D16/LatestPrice,1/3)-1</f>
        <v>0.17797828839856389</v>
      </c>
      <c r="E20" s="43">
        <f ca="1">POWER(E16/LatestPrice,1/3)-1</f>
        <v>0.25178872247779904</v>
      </c>
      <c r="F20" s="43">
        <f ca="1">POWER(F16/LatestPrice,1/3)-1</f>
        <v>0.31779128524344391</v>
      </c>
    </row>
    <row r="21" spans="2:6" x14ac:dyDescent="0.3"/>
    <row r="22" spans="2:6" x14ac:dyDescent="0.3"/>
  </sheetData>
  <sheetProtection algorithmName="SHA-512" hashValue="nMGhimObtgLvW2YDwhgWaQhNBl+TW7siTik/2asyfThH02XIXcNyoBwJCS+cKrAQesHwAxFN9Es86jWEwFUg7g==" saltValue="QnvpBIxhg2RY9OuvCpJTMg==" spinCount="100000" sheet="1" objects="1" scenarios="1" selectLockedCells="1" selectUnlockedCells="1"/>
  <mergeCells count="6">
    <mergeCell ref="D14:F14"/>
    <mergeCell ref="B2:F2"/>
    <mergeCell ref="C3:F3"/>
    <mergeCell ref="D4:F4"/>
    <mergeCell ref="B12:F12"/>
    <mergeCell ref="D13:F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fitToPage="1"/>
  </sheetPr>
  <dimension ref="A1:L177"/>
  <sheetViews>
    <sheetView showGridLines="0" zoomScale="83" workbookViewId="0">
      <selection activeCell="F18" sqref="F18"/>
    </sheetView>
  </sheetViews>
  <sheetFormatPr defaultColWidth="0" defaultRowHeight="13.5" zeroHeight="1" x14ac:dyDescent="0.3"/>
  <cols>
    <col min="1" max="1" width="9.06640625" customWidth="1"/>
    <col min="2" max="2" width="8.59765625" customWidth="1"/>
    <col min="3" max="3" width="27.53125" bestFit="1" customWidth="1"/>
    <col min="4" max="4" width="16.796875" bestFit="1" customWidth="1"/>
    <col min="5" max="7" width="14.59765625" bestFit="1" customWidth="1"/>
    <col min="8" max="8" width="11.19921875" bestFit="1" customWidth="1"/>
    <col min="9" max="9" width="13.33203125" bestFit="1" customWidth="1"/>
    <col min="10" max="10" width="13.06640625" customWidth="1"/>
    <col min="11" max="11" width="8.59765625" customWidth="1"/>
    <col min="12" max="12" width="9.06640625" customWidth="1"/>
    <col min="13" max="16384" width="9.06640625" hidden="1"/>
  </cols>
  <sheetData>
    <row r="1" spans="2:11" x14ac:dyDescent="0.3"/>
    <row r="2" spans="2:11" ht="13.9" thickBot="1" x14ac:dyDescent="0.35"/>
    <row r="3" spans="2:11" s="48" customFormat="1" ht="36" customHeight="1" thickTop="1" thickBot="1" x14ac:dyDescent="0.35">
      <c r="B3" s="49"/>
      <c r="C3" s="124" t="str">
        <f>StockName &amp; "分析报表"</f>
        <v>富安娜分析报表</v>
      </c>
      <c r="D3" s="124"/>
      <c r="E3" s="124"/>
      <c r="F3" s="124"/>
      <c r="G3" s="124"/>
      <c r="H3" s="124"/>
      <c r="I3" s="124"/>
      <c r="J3" s="124"/>
      <c r="K3" s="50"/>
    </row>
    <row r="4" spans="2:11" ht="20.2" customHeight="1" x14ac:dyDescent="0.3">
      <c r="B4" s="27"/>
      <c r="C4" s="118" t="s">
        <v>618</v>
      </c>
      <c r="D4" s="118"/>
      <c r="E4" s="118"/>
      <c r="F4" s="118"/>
      <c r="G4" s="118"/>
      <c r="H4" s="118"/>
      <c r="I4" s="118"/>
      <c r="J4" s="118"/>
      <c r="K4" s="28"/>
    </row>
    <row r="5" spans="2:11" ht="20.2" customHeight="1" x14ac:dyDescent="0.3">
      <c r="B5" s="27"/>
      <c r="C5" s="115" t="s">
        <v>560</v>
      </c>
      <c r="D5" s="116"/>
      <c r="E5" s="116"/>
      <c r="F5" s="116"/>
      <c r="G5" s="116"/>
      <c r="H5" s="116"/>
      <c r="I5" s="116"/>
      <c r="J5" s="117"/>
      <c r="K5" s="28"/>
    </row>
    <row r="6" spans="2:11" ht="20.2" customHeight="1" x14ac:dyDescent="0.3">
      <c r="B6" s="27"/>
      <c r="C6" s="79" t="s">
        <v>561</v>
      </c>
      <c r="D6" s="7">
        <f>Source!$C$3</f>
        <v>42916</v>
      </c>
      <c r="E6" s="7">
        <f>Source!$D$3</f>
        <v>42551</v>
      </c>
      <c r="F6" s="7">
        <f>Source!$E$3</f>
        <v>42185</v>
      </c>
      <c r="G6" s="7">
        <f>Source!$F$3</f>
        <v>41820</v>
      </c>
      <c r="H6" s="8" t="s">
        <v>611</v>
      </c>
      <c r="I6" s="8" t="s">
        <v>639</v>
      </c>
      <c r="J6" s="8" t="s">
        <v>638</v>
      </c>
      <c r="K6" s="28"/>
    </row>
    <row r="7" spans="2:11" ht="20.2" customHeight="1" x14ac:dyDescent="0.3">
      <c r="B7" s="27"/>
      <c r="C7" s="47" t="str">
        <f>LEFT(LOOKUP(0,0/(Source!$C$4:$C$53=D7),Source!$B$4:$B$53),8)</f>
        <v>存货(万元)</v>
      </c>
      <c r="D7" s="13">
        <f>LARGE(bsa_content_1,1)</f>
        <v>77465</v>
      </c>
      <c r="E7" s="13">
        <f>VLOOKUP($C7&amp;"*",Source!bsa,3,0)</f>
        <v>58793</v>
      </c>
      <c r="F7" s="13">
        <f>VLOOKUP($C7&amp;"*",Source!bsa,4,0)</f>
        <v>61920</v>
      </c>
      <c r="G7" s="13">
        <f>VLOOKUP($C7&amp;"*",Source!bsa,5,0)</f>
        <v>52536</v>
      </c>
      <c r="H7" s="13">
        <f>D7/10000/$D$33</f>
        <v>0.21846727432709881</v>
      </c>
      <c r="I7" s="13">
        <f>IFERROR((D7-E7)/E7,0)</f>
        <v>0.31758882860204446</v>
      </c>
      <c r="J7" s="13">
        <f>(D7-E7)/10000</f>
        <v>1.8672</v>
      </c>
      <c r="K7" s="28"/>
    </row>
    <row r="8" spans="2:11" ht="20.2" customHeight="1" x14ac:dyDescent="0.3">
      <c r="B8" s="27"/>
      <c r="C8" s="47" t="str">
        <f>LEFT(LOOKUP(0,0/(Source!$C$4:$C$53=D8),Source!$B$4:$B$53),8)</f>
        <v>其他流动资产(万</v>
      </c>
      <c r="D8" s="13">
        <f>LARGE(bsa_content_1,2)</f>
        <v>62540</v>
      </c>
      <c r="E8" s="13">
        <f>VLOOKUP($C8&amp;"*",Source!bsa,3,0)</f>
        <v>57871</v>
      </c>
      <c r="F8" s="13">
        <f>VLOOKUP($C8&amp;"*",Source!bsa,4,0)</f>
        <v>41403</v>
      </c>
      <c r="G8" s="13">
        <f>VLOOKUP($C8&amp;"*",Source!bsa,5,0)</f>
        <v>35494</v>
      </c>
      <c r="H8" s="13">
        <f t="shared" ref="H8:H16" si="0">D8/10000/$D$33</f>
        <v>0.17637569659093472</v>
      </c>
      <c r="I8" s="13">
        <f t="shared" ref="I8:I16" si="1">IFERROR((D8-E8)/E8,0)</f>
        <v>8.0679442207668775E-2</v>
      </c>
      <c r="J8" s="13">
        <f t="shared" ref="J8:J16" si="2">(D8-E8)/10000</f>
        <v>0.46689999999999998</v>
      </c>
      <c r="K8" s="28"/>
    </row>
    <row r="9" spans="2:11" ht="20.2" customHeight="1" x14ac:dyDescent="0.3">
      <c r="B9" s="27"/>
      <c r="C9" s="47" t="str">
        <f>LEFT(LOOKUP(0,0/(Source!$C$4:$C$53=D9),Source!$B$4:$B$53),8)</f>
        <v>固定资产净值(万</v>
      </c>
      <c r="D9" s="13">
        <f>LARGE(bsa_content_1,3)</f>
        <v>52491</v>
      </c>
      <c r="E9" s="13">
        <f>VLOOKUP($C9&amp;"*",Source!bsa,3,0)</f>
        <v>53095</v>
      </c>
      <c r="F9" s="13">
        <f>VLOOKUP($C9&amp;"*",Source!bsa,4,0)</f>
        <v>50701</v>
      </c>
      <c r="G9" s="13">
        <f>VLOOKUP($C9&amp;"*",Source!bsa,5,0)</f>
        <v>43458</v>
      </c>
      <c r="H9" s="13">
        <f t="shared" si="0"/>
        <v>0.14803544435169103</v>
      </c>
      <c r="I9" s="13">
        <f t="shared" si="1"/>
        <v>-1.1375835766079669E-2</v>
      </c>
      <c r="J9" s="13">
        <f t="shared" si="2"/>
        <v>-6.0400000000000002E-2</v>
      </c>
      <c r="K9" s="28"/>
    </row>
    <row r="10" spans="2:11" ht="20.2" customHeight="1" x14ac:dyDescent="0.3">
      <c r="B10" s="27"/>
      <c r="C10" s="47" t="str">
        <f>LEFT(LOOKUP(0,0/(Source!$C$4:$C$53=D10),Source!$B$4:$B$53),8)</f>
        <v>在建工程(万元)</v>
      </c>
      <c r="D10" s="13">
        <f>LARGE(bsa_content_1,4)</f>
        <v>39652</v>
      </c>
      <c r="E10" s="13">
        <f>VLOOKUP($C10&amp;"*",Source!bsa,3,0)</f>
        <v>24740</v>
      </c>
      <c r="F10" s="13">
        <f>VLOOKUP($C10&amp;"*",Source!bsa,4,0)</f>
        <v>21831</v>
      </c>
      <c r="G10" s="13">
        <f>VLOOKUP($C10&amp;"*",Source!bsa,5,0)</f>
        <v>18906</v>
      </c>
      <c r="H10" s="13">
        <f t="shared" si="0"/>
        <v>0.11182681677684272</v>
      </c>
      <c r="I10" s="13">
        <f t="shared" si="1"/>
        <v>0.60274858528698461</v>
      </c>
      <c r="J10" s="13">
        <f t="shared" si="2"/>
        <v>1.4912000000000001</v>
      </c>
      <c r="K10" s="28"/>
    </row>
    <row r="11" spans="2:11" ht="20.2" customHeight="1" x14ac:dyDescent="0.3">
      <c r="B11" s="27"/>
      <c r="C11" s="47" t="str">
        <f>LEFT(LOOKUP(0,0/(Source!$C$4:$C$53=D11),Source!$B$4:$B$53),8)</f>
        <v>货币资金(万元)</v>
      </c>
      <c r="D11" s="13">
        <f>LARGE(bsa_content_1,5)</f>
        <v>27073</v>
      </c>
      <c r="E11" s="13">
        <f>VLOOKUP($C11&amp;"*",Source!bsa,3,0)</f>
        <v>42762</v>
      </c>
      <c r="F11" s="13">
        <f>VLOOKUP($C11&amp;"*",Source!bsa,4,0)</f>
        <v>56251</v>
      </c>
      <c r="G11" s="13">
        <f>VLOOKUP($C11&amp;"*",Source!bsa,5,0)</f>
        <v>66512</v>
      </c>
      <c r="H11" s="13">
        <f t="shared" si="0"/>
        <v>7.6351442817498824E-2</v>
      </c>
      <c r="I11" s="13">
        <f t="shared" si="1"/>
        <v>-0.3668911650530845</v>
      </c>
      <c r="J11" s="13">
        <f t="shared" si="2"/>
        <v>-1.5689</v>
      </c>
      <c r="K11" s="28"/>
    </row>
    <row r="12" spans="2:11" ht="20.2" customHeight="1" x14ac:dyDescent="0.3">
      <c r="B12" s="27"/>
      <c r="C12" s="47" t="str">
        <f>LEFT(LOOKUP(0,0/(Source!$C$4:$C$53=D12),Source!$B$4:$B$53),8)</f>
        <v>可供出售金融资产</v>
      </c>
      <c r="D12" s="13">
        <f>LARGE(bsa_content_1,6)</f>
        <v>22450</v>
      </c>
      <c r="E12" s="13">
        <f>VLOOKUP($C12&amp;"*",Source!bsa,3,0)</f>
        <v>22450</v>
      </c>
      <c r="F12" s="13">
        <f>VLOOKUP($C12&amp;"*",Source!bsa,4,0)</f>
        <v>0</v>
      </c>
      <c r="G12" s="13">
        <f>VLOOKUP($C12&amp;"*",Source!bsa,5,0)</f>
        <v>0</v>
      </c>
      <c r="H12" s="13">
        <f t="shared" si="0"/>
        <v>6.3313629492588508E-2</v>
      </c>
      <c r="I12" s="13">
        <f t="shared" si="1"/>
        <v>0</v>
      </c>
      <c r="J12" s="13">
        <f t="shared" si="2"/>
        <v>0</v>
      </c>
      <c r="K12" s="28"/>
    </row>
    <row r="13" spans="2:11" ht="20.2" customHeight="1" x14ac:dyDescent="0.3">
      <c r="B13" s="27"/>
      <c r="C13" s="47" t="str">
        <f>LEFT(LOOKUP(0,0/(Source!$C$4:$C$53=D13),Source!$B$4:$B$53),8)</f>
        <v>其他非流动资产(</v>
      </c>
      <c r="D13" s="13">
        <f>LARGE(bsa_content_1,7)</f>
        <v>18836</v>
      </c>
      <c r="E13" s="13">
        <f>VLOOKUP($C13&amp;"*",Source!bsa,3,0)</f>
        <v>7806</v>
      </c>
      <c r="F13" s="13">
        <f>VLOOKUP($C13&amp;"*",Source!bsa,4,0)</f>
        <v>241</v>
      </c>
      <c r="G13" s="13">
        <f>VLOOKUP($C13&amp;"*",Source!bsa,5,0)</f>
        <v>0</v>
      </c>
      <c r="H13" s="13">
        <f t="shared" si="0"/>
        <v>5.312140423707782E-2</v>
      </c>
      <c r="I13" s="13">
        <f t="shared" si="1"/>
        <v>1.4130156290033307</v>
      </c>
      <c r="J13" s="13">
        <f t="shared" si="2"/>
        <v>1.103</v>
      </c>
      <c r="K13" s="28"/>
    </row>
    <row r="14" spans="2:11" ht="20.2" customHeight="1" x14ac:dyDescent="0.3">
      <c r="B14" s="27"/>
      <c r="C14" s="47" t="str">
        <f>LEFT(LOOKUP(0,0/(Source!$C$4:$C$53=D14),Source!$B$4:$B$53),8)</f>
        <v>应收账款(万元)</v>
      </c>
      <c r="D14" s="13">
        <f>LARGE(bsa_content_1,8)</f>
        <v>16786</v>
      </c>
      <c r="E14" s="13">
        <f>VLOOKUP($C14&amp;"*",Source!bsa,3,0)</f>
        <v>12162</v>
      </c>
      <c r="F14" s="13">
        <f>VLOOKUP($C14&amp;"*",Source!bsa,4,0)</f>
        <v>8635</v>
      </c>
      <c r="G14" s="13">
        <f>VLOOKUP($C14&amp;"*",Source!bsa,5,0)</f>
        <v>6027</v>
      </c>
      <c r="H14" s="13">
        <f t="shared" si="0"/>
        <v>4.7339981499447244E-2</v>
      </c>
      <c r="I14" s="13">
        <f t="shared" si="1"/>
        <v>0.38020062489722084</v>
      </c>
      <c r="J14" s="13">
        <f t="shared" si="2"/>
        <v>0.46239999999999998</v>
      </c>
      <c r="K14" s="28"/>
    </row>
    <row r="15" spans="2:11" ht="20.2" customHeight="1" x14ac:dyDescent="0.3">
      <c r="B15" s="27"/>
      <c r="C15" s="47" t="str">
        <f>LEFT(LOOKUP(0,0/(Source!$C$4:$C$53=D15),Source!$B$4:$B$53),8)</f>
        <v>其他应收款(万元</v>
      </c>
      <c r="D15" s="13">
        <f>LARGE(bsa_content_1,9)</f>
        <v>10766</v>
      </c>
      <c r="E15" s="13">
        <f>VLOOKUP($C15&amp;"*",Source!bsa,3,0)</f>
        <v>4018</v>
      </c>
      <c r="F15" s="13">
        <f>VLOOKUP($C15&amp;"*",Source!bsa,4,0)</f>
        <v>2515</v>
      </c>
      <c r="G15" s="13">
        <f>VLOOKUP($C15&amp;"*",Source!bsa,5,0)</f>
        <v>2198</v>
      </c>
      <c r="H15" s="13">
        <f t="shared" si="0"/>
        <v>3.0362340094307699E-2</v>
      </c>
      <c r="I15" s="13">
        <f t="shared" si="1"/>
        <v>1.6794425087108014</v>
      </c>
      <c r="J15" s="13">
        <f t="shared" si="2"/>
        <v>0.67479999999999996</v>
      </c>
      <c r="K15" s="28"/>
    </row>
    <row r="16" spans="2:11" ht="20.2" customHeight="1" x14ac:dyDescent="0.3">
      <c r="B16" s="27"/>
      <c r="C16" s="47" t="str">
        <f>LEFT(LOOKUP(0,0/(Source!$C$4:$C$53=D16),Source!$B$4:$B$53),8)</f>
        <v>预付款项(万元)</v>
      </c>
      <c r="D16" s="13">
        <f>LARGE(bsa_content_1,10)</f>
        <v>9554</v>
      </c>
      <c r="E16" s="13">
        <f>VLOOKUP($C16&amp;"*",Source!bsa,3,0)</f>
        <v>2204</v>
      </c>
      <c r="F16" s="13">
        <f>VLOOKUP($C16&amp;"*",Source!bsa,4,0)</f>
        <v>2586</v>
      </c>
      <c r="G16" s="13">
        <f>VLOOKUP($C16&amp;"*",Source!bsa,5,0)</f>
        <v>4376</v>
      </c>
      <c r="H16" s="13">
        <f t="shared" si="0"/>
        <v>2.6944250163571964E-2</v>
      </c>
      <c r="I16" s="13">
        <f t="shared" si="1"/>
        <v>3.3348457350272231</v>
      </c>
      <c r="J16" s="13">
        <f t="shared" si="2"/>
        <v>0.73499999999999999</v>
      </c>
      <c r="K16" s="28"/>
    </row>
    <row r="17" spans="2:11" ht="20.2" customHeight="1" x14ac:dyDescent="0.3">
      <c r="B17" s="27"/>
      <c r="C17" s="129" t="s">
        <v>566</v>
      </c>
      <c r="D17" s="130"/>
      <c r="E17" s="130"/>
      <c r="F17" s="130"/>
      <c r="G17" s="130"/>
      <c r="H17" s="130"/>
      <c r="I17" s="130"/>
      <c r="J17" s="131"/>
      <c r="K17" s="28"/>
    </row>
    <row r="18" spans="2:11" ht="20.2" customHeight="1" x14ac:dyDescent="0.3">
      <c r="B18" s="27"/>
      <c r="C18" s="46" t="s">
        <v>561</v>
      </c>
      <c r="D18" s="7">
        <f>Source!$C$3</f>
        <v>42916</v>
      </c>
      <c r="E18" s="7">
        <f>Source!$D$3</f>
        <v>42551</v>
      </c>
      <c r="F18" s="7">
        <f>Source!$E$3</f>
        <v>42185</v>
      </c>
      <c r="G18" s="7">
        <f>Source!$F$3</f>
        <v>41820</v>
      </c>
      <c r="H18" s="8" t="s">
        <v>611</v>
      </c>
      <c r="I18" s="8" t="s">
        <v>640</v>
      </c>
      <c r="J18" s="8" t="s">
        <v>638</v>
      </c>
      <c r="K18" s="28"/>
    </row>
    <row r="19" spans="2:11" ht="20.2" customHeight="1" x14ac:dyDescent="0.3">
      <c r="B19" s="27"/>
      <c r="C19" s="47" t="str">
        <f>LEFT(LOOKUP(0,0/(Source!$C$56:$C$111=D19),Source!$B$56:$B$111),8)</f>
        <v>未分配利润(万元</v>
      </c>
      <c r="D19" s="14">
        <f>LARGE(bsa_content_2,1)</f>
        <v>196729</v>
      </c>
      <c r="E19" s="13">
        <f>VLOOKUP($C19&amp;"*",Source!bsa,3,0)</f>
        <v>156759</v>
      </c>
      <c r="F19" s="13">
        <f>VLOOKUP($C19&amp;"*",Source!bsa,4,0)</f>
        <v>129684</v>
      </c>
      <c r="G19" s="13">
        <f>VLOOKUP($C19&amp;"*",Source!bsa,5,0)</f>
        <v>95852</v>
      </c>
      <c r="H19" s="13">
        <f>D19/10000/$D$33</f>
        <v>0.55481634817137826</v>
      </c>
      <c r="I19" s="13">
        <f t="shared" ref="I19:I28" si="3">IFERROR((D19-E19)/E19,0)</f>
        <v>0.25497738566844647</v>
      </c>
      <c r="J19" s="13">
        <f t="shared" ref="J19:J28" si="4">(D19-E19)/10000</f>
        <v>3.9969999999999999</v>
      </c>
      <c r="K19" s="28"/>
    </row>
    <row r="20" spans="2:11" ht="20.2" customHeight="1" x14ac:dyDescent="0.3">
      <c r="B20" s="27"/>
      <c r="C20" s="47" t="str">
        <f>LEFT(LOOKUP(0,0/(Source!$C$56:$C$111=D20),Source!$B$56:$B$111),8)</f>
        <v>实收资本(或股本</v>
      </c>
      <c r="D20" s="14">
        <f>LARGE(bsa_content_2,2)</f>
        <v>86879</v>
      </c>
      <c r="E20" s="13">
        <f>VLOOKUP($C20&amp;"*",Source!bsa,3,0)</f>
        <v>85121</v>
      </c>
      <c r="F20" s="13">
        <f>VLOOKUP($C20&amp;"*",Source!bsa,4,0)</f>
        <v>85837</v>
      </c>
      <c r="G20" s="13">
        <f>VLOOKUP($C20&amp;"*",Source!bsa,5,0)</f>
        <v>42678</v>
      </c>
      <c r="H20" s="13">
        <f t="shared" ref="H20:H28" si="5">D20/10000/$D$33</f>
        <v>0.24501669562078382</v>
      </c>
      <c r="I20" s="13">
        <f t="shared" si="3"/>
        <v>2.0652952855347094E-2</v>
      </c>
      <c r="J20" s="13">
        <f t="shared" si="4"/>
        <v>0.17580000000000001</v>
      </c>
      <c r="K20" s="28"/>
    </row>
    <row r="21" spans="2:11" ht="20.2" customHeight="1" x14ac:dyDescent="0.3">
      <c r="B21" s="27"/>
      <c r="C21" s="47" t="str">
        <f>LEFT(LOOKUP(0,0/(Source!$C$56:$C$111=D21),Source!$B$56:$B$111),8)</f>
        <v>其他应付款(万元</v>
      </c>
      <c r="D21" s="14">
        <f>LARGE(bsa_content_2,3)</f>
        <v>25051</v>
      </c>
      <c r="E21" s="13">
        <f>VLOOKUP($C21&amp;"*",Source!bsa,3,0)</f>
        <v>16752</v>
      </c>
      <c r="F21" s="13">
        <f>VLOOKUP($C21&amp;"*",Source!bsa,4,0)</f>
        <v>9963</v>
      </c>
      <c r="G21" s="13">
        <f>VLOOKUP($C21&amp;"*",Source!bsa,5,0)</f>
        <v>4324</v>
      </c>
      <c r="H21" s="13">
        <f t="shared" si="5"/>
        <v>7.0648985853845644E-2</v>
      </c>
      <c r="I21" s="13">
        <f t="shared" si="3"/>
        <v>0.49540353390639924</v>
      </c>
      <c r="J21" s="13">
        <f t="shared" si="4"/>
        <v>0.82989999999999997</v>
      </c>
      <c r="K21" s="28"/>
    </row>
    <row r="22" spans="2:11" ht="20.2" customHeight="1" x14ac:dyDescent="0.3">
      <c r="B22" s="27"/>
      <c r="C22" s="47" t="str">
        <f>LEFT(LOOKUP(0,0/(Source!$C$56:$C$111=D22),Source!$B$56:$B$111),8)</f>
        <v>减:库存股(万元</v>
      </c>
      <c r="D22" s="14">
        <f>LARGE(bsa_content_2,4)</f>
        <v>18770</v>
      </c>
      <c r="E22" s="13">
        <f>VLOOKUP($C22&amp;"*",Source!bsa,3,0)</f>
        <v>12648</v>
      </c>
      <c r="F22" s="13">
        <f>VLOOKUP($C22&amp;"*",Source!bsa,4,0)</f>
        <v>5864</v>
      </c>
      <c r="G22" s="13">
        <f>VLOOKUP($C22&amp;"*",Source!bsa,5,0)</f>
        <v>0</v>
      </c>
      <c r="H22" s="13">
        <f t="shared" si="5"/>
        <v>5.2935270626988253E-2</v>
      </c>
      <c r="I22" s="13">
        <f t="shared" si="3"/>
        <v>0.48402909550917139</v>
      </c>
      <c r="J22" s="13">
        <f t="shared" si="4"/>
        <v>0.61219999999999997</v>
      </c>
      <c r="K22" s="28"/>
    </row>
    <row r="23" spans="2:11" ht="20.2" customHeight="1" x14ac:dyDescent="0.3">
      <c r="B23" s="27"/>
      <c r="C23" s="47" t="str">
        <f>LEFT(LOOKUP(0,0/(Source!$C$56:$C$111=D23),Source!$B$56:$B$111),8)</f>
        <v>应付账款(万元)</v>
      </c>
      <c r="D23" s="14">
        <f>LARGE(bsa_content_2,5)</f>
        <v>18179</v>
      </c>
      <c r="E23" s="13">
        <f>VLOOKUP($C23&amp;"*",Source!bsa,3,0)</f>
        <v>15073</v>
      </c>
      <c r="F23" s="13">
        <f>VLOOKUP($C23&amp;"*",Source!bsa,4,0)</f>
        <v>18258</v>
      </c>
      <c r="G23" s="13">
        <f>VLOOKUP($C23&amp;"*",Source!bsa,5,0)</f>
        <v>15105</v>
      </c>
      <c r="H23" s="13">
        <f t="shared" si="5"/>
        <v>5.1268528754822559E-2</v>
      </c>
      <c r="I23" s="13">
        <f t="shared" si="3"/>
        <v>0.20606382272938367</v>
      </c>
      <c r="J23" s="13">
        <f t="shared" si="4"/>
        <v>0.31059999999999999</v>
      </c>
      <c r="K23" s="28"/>
    </row>
    <row r="24" spans="2:11" ht="20.2" customHeight="1" x14ac:dyDescent="0.3">
      <c r="B24" s="27"/>
      <c r="C24" s="47" t="str">
        <f>LEFT(LOOKUP(0,0/(Source!$C$56:$C$111=D24),Source!$B$56:$B$111),8)</f>
        <v>资本公积(万元)</v>
      </c>
      <c r="D24" s="14">
        <f>LARGE(bsa_content_2,6)</f>
        <v>14885</v>
      </c>
      <c r="E24" s="13">
        <f>VLOOKUP($C24&amp;"*",Source!bsa,3,0)</f>
        <v>7946</v>
      </c>
      <c r="F24" s="13">
        <f>VLOOKUP($C24&amp;"*",Source!bsa,4,0)</f>
        <v>10046</v>
      </c>
      <c r="G24" s="13">
        <f>VLOOKUP($C24&amp;"*",Source!bsa,5,0)</f>
        <v>51322</v>
      </c>
      <c r="H24" s="13">
        <f t="shared" si="5"/>
        <v>4.197876948762494E-2</v>
      </c>
      <c r="I24" s="13">
        <f t="shared" si="3"/>
        <v>0.87326956959476465</v>
      </c>
      <c r="J24" s="13">
        <f t="shared" si="4"/>
        <v>0.69389999999999996</v>
      </c>
      <c r="K24" s="28"/>
    </row>
    <row r="25" spans="2:11" ht="20.2" customHeight="1" x14ac:dyDescent="0.3">
      <c r="B25" s="27"/>
      <c r="C25" s="47" t="str">
        <f>LEFT(LOOKUP(0,0/(Source!$C$56:$C$111=D25),Source!$B$56:$B$111),8)</f>
        <v>应付票据(万元)</v>
      </c>
      <c r="D25" s="14">
        <f>LARGE(bsa_content_2,7)</f>
        <v>12605</v>
      </c>
      <c r="E25" s="13">
        <f>VLOOKUP($C25&amp;"*",Source!bsa,3,0)</f>
        <v>13351</v>
      </c>
      <c r="F25" s="13">
        <f>VLOOKUP($C25&amp;"*",Source!bsa,4,0)</f>
        <v>8244</v>
      </c>
      <c r="G25" s="13">
        <f>VLOOKUP($C25&amp;"*",Source!bsa,5,0)</f>
        <v>8644</v>
      </c>
      <c r="H25" s="13">
        <f t="shared" si="5"/>
        <v>3.5548699320894342E-2</v>
      </c>
      <c r="I25" s="13">
        <f t="shared" si="3"/>
        <v>-5.5875964347239904E-2</v>
      </c>
      <c r="J25" s="13">
        <f t="shared" si="4"/>
        <v>-7.46E-2</v>
      </c>
      <c r="K25" s="28"/>
    </row>
    <row r="26" spans="2:11" ht="20.2" customHeight="1" x14ac:dyDescent="0.3">
      <c r="B26" s="27"/>
      <c r="C26" s="47" t="str">
        <f>LEFT(LOOKUP(0,0/(Source!$C$56:$C$111=D26),Source!$B$56:$B$111),8)</f>
        <v>应交税费(万元)</v>
      </c>
      <c r="D26" s="14">
        <f>LARGE(bsa_content_2,8)</f>
        <v>5844</v>
      </c>
      <c r="E26" s="13">
        <f>VLOOKUP($C26&amp;"*",Source!bsa,3,0)</f>
        <v>4653</v>
      </c>
      <c r="F26" s="13">
        <f>VLOOKUP($C26&amp;"*",Source!bsa,4,0)</f>
        <v>4214</v>
      </c>
      <c r="G26" s="13">
        <f>VLOOKUP($C26&amp;"*",Source!bsa,5,0)</f>
        <v>4399</v>
      </c>
      <c r="H26" s="13">
        <f t="shared" si="5"/>
        <v>1.6481285111567361E-2</v>
      </c>
      <c r="I26" s="13">
        <f t="shared" si="3"/>
        <v>0.25596389426176658</v>
      </c>
      <c r="J26" s="13">
        <f t="shared" si="4"/>
        <v>0.1191</v>
      </c>
      <c r="K26" s="28"/>
    </row>
    <row r="27" spans="2:11" ht="20.2" customHeight="1" x14ac:dyDescent="0.3">
      <c r="B27" s="27"/>
      <c r="C27" s="47" t="str">
        <f>LEFT(LOOKUP(0,0/(Source!$C$56:$C$111=D27),Source!$B$56:$B$111),8)</f>
        <v>应付职工薪酬(万</v>
      </c>
      <c r="D27" s="14">
        <f>LARGE(bsa_content_2,9)</f>
        <v>4867</v>
      </c>
      <c r="E27" s="13">
        <f>VLOOKUP($C27&amp;"*",Source!bsa,3,0)</f>
        <v>3886</v>
      </c>
      <c r="F27" s="13">
        <f>VLOOKUP($C27&amp;"*",Source!bsa,4,0)</f>
        <v>3129</v>
      </c>
      <c r="G27" s="13">
        <f>VLOOKUP($C27&amp;"*",Source!bsa,5,0)</f>
        <v>3903</v>
      </c>
      <c r="H27" s="13">
        <f t="shared" si="5"/>
        <v>1.3725943640999031E-2</v>
      </c>
      <c r="I27" s="13">
        <f t="shared" si="3"/>
        <v>0.25244467318579517</v>
      </c>
      <c r="J27" s="13">
        <f t="shared" si="4"/>
        <v>9.8100000000000007E-2</v>
      </c>
      <c r="K27" s="28"/>
    </row>
    <row r="28" spans="2:11" ht="20.2" customHeight="1" x14ac:dyDescent="0.3">
      <c r="B28" s="27"/>
      <c r="C28" s="47" t="str">
        <f>LEFT(LOOKUP(0,0/(Source!$C$56:$C$111=D28),Source!$B$56:$B$111),8)</f>
        <v>预收账款(万元)</v>
      </c>
      <c r="D28" s="14">
        <f>LARGE(bsa_content_2,10)</f>
        <v>3315</v>
      </c>
      <c r="E28" s="13">
        <f>VLOOKUP($C28&amp;"*",Source!bsa,3,0)</f>
        <v>1870</v>
      </c>
      <c r="F28" s="13">
        <f>VLOOKUP($C28&amp;"*",Source!bsa,4,0)</f>
        <v>1680</v>
      </c>
      <c r="G28" s="13">
        <f>VLOOKUP($C28&amp;"*",Source!bsa,5,0)</f>
        <v>2080</v>
      </c>
      <c r="H28" s="13">
        <f t="shared" si="5"/>
        <v>9.3489835976806636E-3</v>
      </c>
      <c r="I28" s="13">
        <f t="shared" si="3"/>
        <v>0.77272727272727271</v>
      </c>
      <c r="J28" s="13">
        <f t="shared" si="4"/>
        <v>0.14449999999999999</v>
      </c>
      <c r="K28" s="28"/>
    </row>
    <row r="29" spans="2:11" ht="20.2" customHeight="1" x14ac:dyDescent="0.3">
      <c r="B29" s="27"/>
      <c r="C29" s="44"/>
      <c r="D29" s="44"/>
      <c r="E29" s="44"/>
      <c r="F29" s="44"/>
      <c r="G29" s="44"/>
      <c r="H29" s="44"/>
      <c r="I29" s="44"/>
      <c r="J29" s="44"/>
      <c r="K29" s="28"/>
    </row>
    <row r="30" spans="2:11" ht="20.2" customHeight="1" x14ac:dyDescent="0.3">
      <c r="B30" s="27"/>
      <c r="C30" s="125" t="s">
        <v>717</v>
      </c>
      <c r="D30" s="125"/>
      <c r="E30" s="125"/>
      <c r="F30" s="125"/>
      <c r="G30" s="125"/>
      <c r="H30" s="125"/>
      <c r="I30" s="125"/>
      <c r="J30" s="125"/>
      <c r="K30" s="28"/>
    </row>
    <row r="31" spans="2:11" ht="20.2" customHeight="1" x14ac:dyDescent="0.3">
      <c r="B31" s="27"/>
      <c r="C31" s="115" t="s">
        <v>719</v>
      </c>
      <c r="D31" s="116"/>
      <c r="E31" s="116"/>
      <c r="F31" s="116"/>
      <c r="G31" s="116"/>
      <c r="H31" s="116"/>
      <c r="I31" s="116"/>
      <c r="J31" s="117"/>
      <c r="K31" s="28"/>
    </row>
    <row r="32" spans="2:11" ht="20.2" customHeight="1" x14ac:dyDescent="0.3">
      <c r="B32" s="27"/>
      <c r="C32" s="46" t="s">
        <v>561</v>
      </c>
      <c r="D32" s="7">
        <f>Source!$C$3</f>
        <v>42916</v>
      </c>
      <c r="E32" s="7">
        <f>Source!$D$3</f>
        <v>42551</v>
      </c>
      <c r="F32" s="7">
        <f>Source!$E$3</f>
        <v>42185</v>
      </c>
      <c r="G32" s="7">
        <f>Source!$F$3</f>
        <v>41820</v>
      </c>
      <c r="H32" s="8" t="s">
        <v>562</v>
      </c>
      <c r="I32" s="8" t="s">
        <v>641</v>
      </c>
      <c r="J32" s="8" t="s">
        <v>251</v>
      </c>
      <c r="K32" s="28"/>
    </row>
    <row r="33" spans="2:11" ht="20.2" customHeight="1" x14ac:dyDescent="0.3">
      <c r="B33" s="27"/>
      <c r="C33" s="46" t="s">
        <v>600</v>
      </c>
      <c r="D33" s="13">
        <f>IFERROR(VLOOKUP("资产总计*",Source!bsa,2,0)/10000,0)</f>
        <v>35.458399999999997</v>
      </c>
      <c r="E33" s="13">
        <f>IFERROR(VLOOKUP("资产总计*",Source!bsa,3,0)/10000,0)</f>
        <v>29.977499999999999</v>
      </c>
      <c r="F33" s="13">
        <f>IFERROR(VLOOKUP("资产总计*",Source!bsa,4,0)/10000,0)</f>
        <v>28.219000000000001</v>
      </c>
      <c r="G33" s="13">
        <f>IFERROR(VLOOKUP("资产总计*",Source!bsa,5,0)/10000,0)</f>
        <v>24.0794</v>
      </c>
      <c r="H33" s="13">
        <f>D33-E33</f>
        <v>5.4808999999999983</v>
      </c>
      <c r="I33" s="6">
        <f>IFERROR(D33/E33-1,0)</f>
        <v>0.18283379201067462</v>
      </c>
      <c r="J33" s="6">
        <f>IFERROR(POWER(D33/G33,1/3)-1,0)</f>
        <v>0.13769144205839368</v>
      </c>
      <c r="K33" s="28"/>
    </row>
    <row r="34" spans="2:11" ht="20.2" customHeight="1" x14ac:dyDescent="0.3">
      <c r="B34" s="27"/>
      <c r="C34" s="46" t="s">
        <v>563</v>
      </c>
      <c r="D34" s="13">
        <f>IFERROR(VLOOKUP("货币*",Source!bsa,2,0)/10000,0)</f>
        <v>2.7073</v>
      </c>
      <c r="E34" s="13">
        <f>IFERROR(VLOOKUP("货币*",Source!bsa,3,0)/10000,0)</f>
        <v>4.2762000000000002</v>
      </c>
      <c r="F34" s="13">
        <f>IFERROR(VLOOKUP("货币*",Source!bsa,4,0)/10000,0)</f>
        <v>5.6250999999999998</v>
      </c>
      <c r="G34" s="13">
        <f>IFERROR(VLOOKUP("货币*",Source!bsa,5,0)/10000,0)</f>
        <v>6.6512000000000002</v>
      </c>
      <c r="H34" s="13">
        <f>D34-E34</f>
        <v>-1.5689000000000002</v>
      </c>
      <c r="I34" s="6">
        <f>IFERROR(D34/E34-1,0)</f>
        <v>-0.3668911650530845</v>
      </c>
      <c r="J34" s="6">
        <f>IFERROR(POWER(D34/G34,1/3)-1,0)</f>
        <v>-0.25889662333318197</v>
      </c>
      <c r="K34" s="28"/>
    </row>
    <row r="35" spans="2:11" ht="20.2" customHeight="1" x14ac:dyDescent="0.3">
      <c r="B35" s="27"/>
      <c r="C35" s="46" t="s">
        <v>564</v>
      </c>
      <c r="D35" s="13">
        <f>IFERROR(VLOOKUP("流动资产合计*",Source!bsa,2,0)/10000-VLOOKUP("货币资金*",Source!bsa,2,0)/10000,0)</f>
        <v>17.810500000000001</v>
      </c>
      <c r="E35" s="13">
        <f>IFERROR(VLOOKUP("流动资产合计*",Source!bsa,3,0)/10000-VLOOKUP("货币资金*",Source!bsa,3,0)/10000,0)</f>
        <v>13.551400000000001</v>
      </c>
      <c r="F35" s="13">
        <f>IFERROR(VLOOKUP("流动资产合计*",Source!bsa,4,0)/10000-VLOOKUP("货币资金*",Source!bsa,4,0)/10000,0)</f>
        <v>11.818300000000001</v>
      </c>
      <c r="G35" s="13">
        <f>IFERROR(VLOOKUP("流动资产合计*",Source!bsa,5,0)/10000-VLOOKUP("货币资金*",Source!bsa,5,0)/10000,0)</f>
        <v>10.0732</v>
      </c>
      <c r="H35" s="13">
        <f t="shared" ref="H35:H69" si="6">D35-E35</f>
        <v>4.2591000000000001</v>
      </c>
      <c r="I35" s="6">
        <f t="shared" ref="I35:I50" si="7">IFERROR(D35/E35-1,0)</f>
        <v>0.31429225024720697</v>
      </c>
      <c r="J35" s="6">
        <f t="shared" ref="J35:J44" si="8">IFERROR(POWER(D35/G35,1/3)-1,0)</f>
        <v>0.20921321559320516</v>
      </c>
      <c r="K35" s="28"/>
    </row>
    <row r="36" spans="2:11" ht="20.2" customHeight="1" x14ac:dyDescent="0.3">
      <c r="B36" s="27"/>
      <c r="C36" s="46" t="s">
        <v>614</v>
      </c>
      <c r="D36" s="13">
        <f>IFERROR(VLOOKUP("固定资产(*",Source!bsa,2,0)/10000+VLOOKUP("无形资产(*",Source!bsa,2,0)/10000,0)</f>
        <v>5.9433000000000007</v>
      </c>
      <c r="E36" s="13">
        <f>IFERROR(VLOOKUP("固定资产(*",Source!bsa,3,0)/10000+VLOOKUP("无形资产(*",Source!bsa,3,0)/10000,0)</f>
        <v>5.9984000000000002</v>
      </c>
      <c r="F36" s="13">
        <f>IFERROR(VLOOKUP("固定资产(*",Source!bsa,4,0)/10000+VLOOKUP("无形资产(*",Source!bsa,4,0)/10000,0)</f>
        <v>5.7759999999999998</v>
      </c>
      <c r="G36" s="13">
        <f>IFERROR(VLOOKUP("固定资产(*",Source!bsa,5,0)/10000+VLOOKUP("无形资产(*",Source!bsa,5,0)/10000,0)</f>
        <v>5.0876000000000001</v>
      </c>
      <c r="H36" s="13">
        <f t="shared" si="6"/>
        <v>-5.5099999999999483E-2</v>
      </c>
      <c r="I36" s="6">
        <f t="shared" si="7"/>
        <v>-9.1857828754333681E-3</v>
      </c>
      <c r="J36" s="6">
        <f t="shared" si="8"/>
        <v>5.31855649927373E-2</v>
      </c>
      <c r="K36" s="28"/>
    </row>
    <row r="37" spans="2:11" ht="20.2" customHeight="1" x14ac:dyDescent="0.3">
      <c r="B37" s="27"/>
      <c r="C37" s="46" t="s">
        <v>613</v>
      </c>
      <c r="D37" s="13">
        <f>IFERROR(VLOOKUP("可供出售*",Source!bsa,2,0)/10000+VLOOKUP("投资性房地产*",Source!bsa,2,0)/10000+VLOOKUP("持有至到期投资*",Source!bsa,2,0)/10000+VLOOKUP("长期股权投资*",Source!bsa,2,0)/10000,0)</f>
        <v>2.2450000000000001</v>
      </c>
      <c r="E37" s="13">
        <f>IFERROR(VLOOKUP("可供出售*",Source!bsa,3,0)/10000+VLOOKUP("投资性房地产*",Source!bsa,3,0)/10000+VLOOKUP("持有至到期投资*",Source!bsa,3,0)/10000+VLOOKUP("长期股权投资*",Source!bsa,3,0)/10000,0)</f>
        <v>2.2450000000000001</v>
      </c>
      <c r="F37" s="13">
        <f>IFERROR(VLOOKUP("可供出售*",Source!bsa,4,0)/10000+VLOOKUP("投资性房地产*",Source!bsa,4,0)/10000+VLOOKUP("持有至到期投资*",Source!bsa,4,0)/10000+VLOOKUP("长期股权投资*",Source!bsa,4,0)/10000,0)</f>
        <v>2.2450000000000001</v>
      </c>
      <c r="G37" s="13">
        <f>IFERROR(VLOOKUP("可供出售*",Source!bsa,5,0)/10000+VLOOKUP("投资性房地产*",Source!bsa,5,0)/10000+VLOOKUP("持有至到期投资*",Source!bsa,5,0)/10000+VLOOKUP("长期股权投资*",Source!bsa,5,0)/10000,0)</f>
        <v>0</v>
      </c>
      <c r="H37" s="13">
        <f t="shared" si="6"/>
        <v>0</v>
      </c>
      <c r="I37" s="6">
        <f t="shared" si="7"/>
        <v>0</v>
      </c>
      <c r="J37" s="6">
        <f t="shared" si="8"/>
        <v>0</v>
      </c>
      <c r="K37" s="28"/>
    </row>
    <row r="38" spans="2:11" ht="20.2" customHeight="1" x14ac:dyDescent="0.3">
      <c r="B38" s="27"/>
      <c r="C38" s="46" t="s">
        <v>565</v>
      </c>
      <c r="D38" s="13">
        <f>IFERROR(VLOOKUP("在建工程*",Source!bsa,2,0)/10000,0)</f>
        <v>3.9651999999999998</v>
      </c>
      <c r="E38" s="13">
        <f>IFERROR(VLOOKUP("在建工程*",Source!bsa,3,0)/10000,0)</f>
        <v>2.4740000000000002</v>
      </c>
      <c r="F38" s="13">
        <f>IFERROR(VLOOKUP("在建工程*",Source!bsa,4,0)/10000,0)</f>
        <v>2.1831</v>
      </c>
      <c r="G38" s="13">
        <f>IFERROR(VLOOKUP("在建工程*",Source!bsa,5,0)/10000,0)</f>
        <v>1.8906000000000001</v>
      </c>
      <c r="H38" s="13">
        <f t="shared" si="6"/>
        <v>1.4911999999999996</v>
      </c>
      <c r="I38" s="6">
        <f t="shared" si="7"/>
        <v>0.6027485852869845</v>
      </c>
      <c r="J38" s="6">
        <f t="shared" si="8"/>
        <v>0.2800349113551821</v>
      </c>
      <c r="K38" s="28"/>
    </row>
    <row r="39" spans="2:11" ht="20.2" customHeight="1" x14ac:dyDescent="0.3">
      <c r="B39" s="27"/>
      <c r="C39" s="46" t="s">
        <v>312</v>
      </c>
      <c r="D39" s="13">
        <f>IFERROR(VLOOKUP("商誉*",Source!bsa,2,0)/10000,0)</f>
        <v>0</v>
      </c>
      <c r="E39" s="13">
        <f>IFERROR(VLOOKUP("商誉*",Source!bsa,3,0)/10000,0)</f>
        <v>0</v>
      </c>
      <c r="F39" s="13">
        <f>IFERROR(VLOOKUP("商誉*",Source!bsa,4,0)/10000,0)</f>
        <v>0</v>
      </c>
      <c r="G39" s="13">
        <f>IFERROR(VLOOKUP("商誉*",Source!bsa,5,0)/10000,0)</f>
        <v>0</v>
      </c>
      <c r="H39" s="13">
        <f t="shared" si="6"/>
        <v>0</v>
      </c>
      <c r="I39" s="6">
        <f t="shared" si="7"/>
        <v>0</v>
      </c>
      <c r="J39" s="6">
        <f t="shared" si="8"/>
        <v>0</v>
      </c>
      <c r="K39" s="28"/>
    </row>
    <row r="40" spans="2:11" ht="20.2" customHeight="1" x14ac:dyDescent="0.3">
      <c r="B40" s="27"/>
      <c r="C40" s="115" t="s">
        <v>718</v>
      </c>
      <c r="D40" s="116"/>
      <c r="E40" s="116"/>
      <c r="F40" s="116"/>
      <c r="G40" s="116"/>
      <c r="H40" s="116"/>
      <c r="I40" s="116"/>
      <c r="J40" s="117"/>
      <c r="K40" s="28"/>
    </row>
    <row r="41" spans="2:11" ht="20.2" customHeight="1" x14ac:dyDescent="0.3">
      <c r="B41" s="27"/>
      <c r="C41" s="46" t="s">
        <v>655</v>
      </c>
      <c r="D41" s="13">
        <f>IFERROR(VLOOKUP("短期借款*",Source!bsa,2,0)/10000+VLOOKUP("一年内到期的非流动负债*",Source!bsa,2,0)/10000+VLOOKUP("其他流动负债*",Source!bsa,2,0)/10000,0)</f>
        <v>1.15E-2</v>
      </c>
      <c r="E41" s="13">
        <f>IFERROR(VLOOKUP("短期借款*",Source!bsa,3,0)/10000+VLOOKUP("一年内到期的非流动负债*",Source!bsa,3,0)/10000+VLOOKUP("其他流动负债*",Source!bsa,3,0)/10000,0)</f>
        <v>1.4800000000000001E-2</v>
      </c>
      <c r="F41" s="13">
        <f>IFERROR(VLOOKUP("短期借款*",Source!bsa,4,0)/10000+VLOOKUP("一年内到期的非流动负债*",Source!bsa,4,0)/10000+VLOOKUP("其他流动负债*",Source!bsa,4,0)/10000,0)</f>
        <v>1.8100000000000002E-2</v>
      </c>
      <c r="G41" s="13">
        <f>IFERROR(VLOOKUP("短期借款*",Source!bsa,5,0)/10000+VLOOKUP("一年内到期的非流动负债*",Source!bsa,5,0)/10000+VLOOKUP("其他流动负债*",Source!bsa,5,0)/10000,0)</f>
        <v>1.7000000000000001E-2</v>
      </c>
      <c r="H41" s="13">
        <f t="shared" si="6"/>
        <v>-3.3000000000000008E-3</v>
      </c>
      <c r="I41" s="6">
        <f t="shared" si="7"/>
        <v>-0.22297297297297303</v>
      </c>
      <c r="J41" s="6">
        <f t="shared" si="8"/>
        <v>-0.12215809970499025</v>
      </c>
      <c r="K41" s="28"/>
    </row>
    <row r="42" spans="2:11" ht="20.2" customHeight="1" x14ac:dyDescent="0.3">
      <c r="B42" s="27"/>
      <c r="C42" s="46" t="s">
        <v>656</v>
      </c>
      <c r="D42" s="13">
        <f>IFERROR(VLOOKUP("长期借款*",Source!bsa,2,0)/10000+VLOOKUP("应付债券*",Source!bsa,2,0)/10000,0)</f>
        <v>0</v>
      </c>
      <c r="E42" s="13">
        <f>IFERROR(VLOOKUP("长期借款*",Source!bsa,3,0)/10000+VLOOKUP("应付债券*",Source!bsa,3,0)/10000,0)</f>
        <v>0</v>
      </c>
      <c r="F42" s="13">
        <f>IFERROR(VLOOKUP("长期借款*",Source!bsa,4,0)/10000+VLOOKUP("应付债券*",Source!bsa,4,0)/10000,0)</f>
        <v>0</v>
      </c>
      <c r="G42" s="13">
        <f>IFERROR(VLOOKUP("长期借款*",Source!bsa,5,0)/10000+VLOOKUP("应付债券*",Source!bsa,5,0)/10000,0)</f>
        <v>0</v>
      </c>
      <c r="H42" s="13">
        <f t="shared" si="6"/>
        <v>0</v>
      </c>
      <c r="I42" s="6">
        <f t="shared" si="7"/>
        <v>0</v>
      </c>
      <c r="J42" s="6">
        <f t="shared" si="8"/>
        <v>0</v>
      </c>
      <c r="K42" s="28"/>
    </row>
    <row r="43" spans="2:11" ht="20.2" customHeight="1" x14ac:dyDescent="0.3">
      <c r="B43" s="27"/>
      <c r="C43" s="46" t="s">
        <v>567</v>
      </c>
      <c r="D43" s="13">
        <f>IFERROR(VLOOKUP("实收资本*",Source!bsa,2,0)/10000+VLOOKUP("资本公积*",Source!bsa,2,0)/10000,0)</f>
        <v>10.176400000000001</v>
      </c>
      <c r="E43" s="13">
        <f>IFERROR(VLOOKUP("实收资本*",Source!bsa,3,0)/10000+VLOOKUP("资本公积*",Source!bsa,3,0)/10000,0)</f>
        <v>9.3066999999999993</v>
      </c>
      <c r="F43" s="13">
        <f>IFERROR(VLOOKUP("实收资本*",Source!bsa,4,0)/10000+VLOOKUP("资本公积*",Source!bsa,4,0)/10000,0)</f>
        <v>9.5883000000000003</v>
      </c>
      <c r="G43" s="13">
        <f>IFERROR(VLOOKUP("实收资本*",Source!bsa,5,0)/10000+VLOOKUP("资本公积*",Source!bsa,5,0)/10000,0)</f>
        <v>9.4</v>
      </c>
      <c r="H43" s="13">
        <f t="shared" si="6"/>
        <v>0.86970000000000169</v>
      </c>
      <c r="I43" s="6">
        <f t="shared" si="7"/>
        <v>9.3448805699120285E-2</v>
      </c>
      <c r="J43" s="6">
        <f t="shared" si="8"/>
        <v>2.6806884607834869E-2</v>
      </c>
      <c r="K43" s="28"/>
    </row>
    <row r="44" spans="2:11" ht="20.2" customHeight="1" x14ac:dyDescent="0.3">
      <c r="B44" s="27"/>
      <c r="C44" s="46" t="s">
        <v>568</v>
      </c>
      <c r="D44" s="13">
        <f>IFERROR(VLOOKUP("未分配利润*",Source!bsa,2,0)/10000,0)</f>
        <v>19.672899999999998</v>
      </c>
      <c r="E44" s="13">
        <f>IFERROR(VLOOKUP("未分配利润*",Source!bsa,3,0)/10000,0)</f>
        <v>15.6759</v>
      </c>
      <c r="F44" s="13">
        <f>IFERROR(VLOOKUP("未分配利润*",Source!bsa,4,0)/10000,0)</f>
        <v>12.968400000000001</v>
      </c>
      <c r="G44" s="13">
        <f>IFERROR(VLOOKUP("未分配利润*",Source!bsa,5,0)/10000,0)</f>
        <v>9.5852000000000004</v>
      </c>
      <c r="H44" s="13">
        <f t="shared" si="6"/>
        <v>3.9969999999999981</v>
      </c>
      <c r="I44" s="6">
        <f t="shared" si="7"/>
        <v>0.2549773856684463</v>
      </c>
      <c r="J44" s="6">
        <f t="shared" si="8"/>
        <v>0.27083471098512457</v>
      </c>
      <c r="K44" s="28"/>
    </row>
    <row r="45" spans="2:11" ht="20.2" customHeight="1" x14ac:dyDescent="0.3">
      <c r="B45" s="27"/>
      <c r="C45" s="115" t="s">
        <v>633</v>
      </c>
      <c r="D45" s="116"/>
      <c r="E45" s="116"/>
      <c r="F45" s="116"/>
      <c r="G45" s="116"/>
      <c r="H45" s="116"/>
      <c r="I45" s="116"/>
      <c r="J45" s="117"/>
      <c r="K45" s="28"/>
    </row>
    <row r="46" spans="2:11" ht="20.2" customHeight="1" x14ac:dyDescent="0.3">
      <c r="B46" s="27"/>
      <c r="C46" s="46" t="s">
        <v>255</v>
      </c>
      <c r="D46" s="7">
        <f>Source!$C$3</f>
        <v>42916</v>
      </c>
      <c r="E46" s="7">
        <f>Source!$D$3</f>
        <v>42551</v>
      </c>
      <c r="F46" s="7">
        <f>Source!$E$3</f>
        <v>42185</v>
      </c>
      <c r="G46" s="7">
        <f>Source!$F$3</f>
        <v>41820</v>
      </c>
      <c r="H46" s="38" t="s">
        <v>634</v>
      </c>
      <c r="I46" s="57" t="s">
        <v>635</v>
      </c>
      <c r="J46" s="57" t="s">
        <v>636</v>
      </c>
      <c r="K46" s="28"/>
    </row>
    <row r="47" spans="2:11" ht="20.2" customHeight="1" x14ac:dyDescent="0.3">
      <c r="B47" s="27"/>
      <c r="C47" s="46" t="s">
        <v>577</v>
      </c>
      <c r="D47" s="13">
        <f>IFERROR(VLOOKUP("流动资产合计*",Source!bsa,2,0)/10000-VLOOKUP("流动负债合计*",Source!bsa,2,0)/10000-VLOOKUP("货币资金*",Source!bsa,2,0)/10000,0)</f>
        <v>10.800600000000001</v>
      </c>
      <c r="E47" s="13">
        <f>IFERROR(VLOOKUP("流动资产合计*",Source!bsa,3,0)/10000-VLOOKUP("流动负债合计*",Source!bsa,3,0)/10000-VLOOKUP("货币资金*",Source!bsa,3,0)/10000,0)</f>
        <v>7.569300000000001</v>
      </c>
      <c r="F47" s="13">
        <f>IFERROR(VLOOKUP("流动资产合计*",Source!bsa,4,0)/10000-VLOOKUP("流动负债合计*",Source!bsa,4,0)/10000-VLOOKUP("货币资金*",Source!bsa,4,0)/10000,0)</f>
        <v>6.920300000000001</v>
      </c>
      <c r="G47" s="13">
        <f>IFERROR(VLOOKUP("流动资产合计*",Source!bsa,5,0)/10000-VLOOKUP("流动负债合计*",Source!bsa,5,0)/10000-VLOOKUP("货币资金*",Source!bsa,5,0)/10000,0)</f>
        <v>6.0423999999999998</v>
      </c>
      <c r="H47" s="13">
        <f t="shared" si="6"/>
        <v>3.2313000000000001</v>
      </c>
      <c r="I47" s="6">
        <f t="shared" si="7"/>
        <v>0.42689548571202085</v>
      </c>
      <c r="J47" s="6">
        <f>IFERROR(D47/D33,0)</f>
        <v>0.30459919229294052</v>
      </c>
      <c r="K47" s="28"/>
    </row>
    <row r="48" spans="2:11" ht="20.2" customHeight="1" x14ac:dyDescent="0.3">
      <c r="B48" s="27"/>
      <c r="C48" s="46" t="s">
        <v>578</v>
      </c>
      <c r="D48" s="13">
        <f>IFERROR(VLOOKUP("应收账款*",Source!bsa,2,0)/10000+VLOOKUP("应收票据*",Source!bsa,2,0)/10000+VLOOKUP("预付*",Source!bsa,2,0)/10000+VLOOKUP("存货*",Source!bsa,2,0)/10000-VLOOKUP("应付账款*",Source!bsa,2,0)/10000-VLOOKUP("应付票据*",Source!bsa,2,0)/10000-VLOOKUP("预收*",Source!bsa,2,0)/10000,0)</f>
        <v>6.970600000000001</v>
      </c>
      <c r="E48" s="13">
        <f>IFERROR(VLOOKUP("应收账款*",Source!bsa,3,0)/10000+VLOOKUP("应收票据*",Source!bsa,3,0)/10000+VLOOKUP("预付*",Source!bsa,3,0)/10000+VLOOKUP("存货*",Source!bsa,3,0)/10000-VLOOKUP("应付账款*",Source!bsa,3,0)/10000-VLOOKUP("应付票据*",Source!bsa,3,0)/10000-VLOOKUP("预收*",Source!bsa,3,0)/10000,0)</f>
        <v>4.2864999999999993</v>
      </c>
      <c r="F48" s="13">
        <f>IFERROR(VLOOKUP("应收账款*",Source!bsa,4,0)/10000+VLOOKUP("应收票据*",Source!bsa,4,0)/10000+VLOOKUP("预付*",Source!bsa,4,0)/10000+VLOOKUP("存货*",Source!bsa,4,0)/10000-VLOOKUP("应付账款*",Source!bsa,4,0)/10000-VLOOKUP("应付票据*",Source!bsa,4,0)/10000-VLOOKUP("预收*",Source!bsa,4,0)/10000,0)</f>
        <v>4.5274999999999999</v>
      </c>
      <c r="G48" s="13">
        <f>IFERROR(VLOOKUP("应收账款*",Source!bsa,5,0)/10000+VLOOKUP("应收票据*",Source!bsa,5,0)/10000+VLOOKUP("预付*",Source!bsa,5,0)/10000+VLOOKUP("存货*",Source!bsa,5,0)/10000-VLOOKUP("应付账款*",Source!bsa,5,0)/10000-VLOOKUP("应付票据*",Source!bsa,5,0)/10000-VLOOKUP("预收*",Source!bsa,5,0)/10000,0)</f>
        <v>3.7210000000000001</v>
      </c>
      <c r="H48" s="13">
        <f t="shared" si="6"/>
        <v>2.6841000000000017</v>
      </c>
      <c r="I48" s="6">
        <f t="shared" si="7"/>
        <v>0.62617520121311143</v>
      </c>
      <c r="J48" s="6">
        <f>IFERROR(D48/D33,0)</f>
        <v>0.19658529431672048</v>
      </c>
      <c r="K48" s="28"/>
    </row>
    <row r="49" spans="2:11" ht="20.2" customHeight="1" x14ac:dyDescent="0.3">
      <c r="B49" s="27"/>
      <c r="C49" s="46" t="s">
        <v>579</v>
      </c>
      <c r="D49" s="13">
        <f>IFERROR(VLOOKUP("应收账款*",Source!bsa,2,0)/10000+VLOOKUP("应收票据*",Source!bsa,2,0)/10000+VLOOKUP("货币资金*",Source!bsa,2,0)/10000+VLOOKUP("交易性金融资产*",Source!bsa,2,0)/10000+VLOOKUP("可供出售*",Source!bsa,2,0)/10000+VLOOKUP("其他流动资产*",Source!bsa,2,0)/10000+VLOOKUP("一年内到期的非流动资产*",Source!bsa,2,0)/10000,0)</f>
        <v>12.8849</v>
      </c>
      <c r="E49" s="13">
        <f>IFERROR(VLOOKUP("应收账款*",Source!bsa,3,0)/10000+VLOOKUP("应收票据*",Source!bsa,3,0)/10000+VLOOKUP("货币资金*",Source!bsa,3,0)/10000+VLOOKUP("交易性金融资产*",Source!bsa,3,0)/10000+VLOOKUP("可供出售*",Source!bsa,3,0)/10000+VLOOKUP("其他流动资产*",Source!bsa,3,0)/10000+VLOOKUP("一年内到期的非流动资产*",Source!bsa,3,0)/10000,0)</f>
        <v>13.5245</v>
      </c>
      <c r="F49" s="13">
        <f>IFERROR(VLOOKUP("应收账款*",Source!bsa,4,0)/10000+VLOOKUP("应收票据*",Source!bsa,4,0)/10000+VLOOKUP("货币资金*",Source!bsa,4,0)/10000+VLOOKUP("交易性金融资产*",Source!bsa,4,0)/10000+VLOOKUP("可供出售*",Source!bsa,4,0)/10000+VLOOKUP("其他流动资产*",Source!bsa,4,0)/10000+VLOOKUP("一年内到期的非流动资产*",Source!bsa,4,0)/10000,0)</f>
        <v>10.660499999999999</v>
      </c>
      <c r="G49" s="13">
        <f>IFERROR(VLOOKUP("应收账款*",Source!bsa,5,0)/10000+VLOOKUP("应收票据*",Source!bsa,5,0)/10000+VLOOKUP("货币资金*",Source!bsa,5,0)/10000+VLOOKUP("交易性金融资产*",Source!bsa,5,0)/10000+VLOOKUP("可供出售*",Source!bsa,5,0)/10000+VLOOKUP("其他流动资产*",Source!bsa,5,0)/10000+VLOOKUP("一年内到期的非流动资产*",Source!bsa,5,0)/10000,0)</f>
        <v>10.8133</v>
      </c>
      <c r="H49" s="13">
        <f t="shared" si="6"/>
        <v>-0.63959999999999972</v>
      </c>
      <c r="I49" s="6">
        <f t="shared" si="7"/>
        <v>-4.7291951643314012E-2</v>
      </c>
      <c r="J49" s="6">
        <f>IFERROR(D49/D33,0)</f>
        <v>0.3633807504004693</v>
      </c>
      <c r="K49" s="28"/>
    </row>
    <row r="50" spans="2:11" ht="20.2" customHeight="1" x14ac:dyDescent="0.3">
      <c r="B50" s="27"/>
      <c r="C50" s="58" t="s">
        <v>735</v>
      </c>
      <c r="D50" s="13">
        <f>IFERROR(VLOOKUP("交易性金融资产*",Source!bsa,2,0)/10000+VLOOKUP("可供出售*",Source!bsa,2,0)/10000+VLOOKUP("其他流动资产*",Source!bsa,2,0)/10000+VLOOKUP("一年内到期的非流动资产*",Source!bsa,2,0)/10000,0)</f>
        <v>8.4989999999999988</v>
      </c>
      <c r="E50" s="13">
        <f>IFERROR(VLOOKUP("交易性金融资产*",Source!bsa,3,0)/10000+VLOOKUP("可供出售*",Source!bsa,3,0)/10000+VLOOKUP("其他流动资产*",Source!bsa,3,0)/10000+VLOOKUP("一年内到期的非流动资产*",Source!bsa,3,0)/10000,0)</f>
        <v>8.0320999999999998</v>
      </c>
      <c r="F50" s="13">
        <f>IFERROR(VLOOKUP("交易性金融资产*",Source!bsa,4,0)/10000+VLOOKUP("可供出售*",Source!bsa,4,0)/10000+VLOOKUP("其他流动资产*",Source!bsa,4,0)/10000+VLOOKUP("一年内到期的非流动资产*",Source!bsa,4,0)/10000,0)</f>
        <v>4.1402999999999999</v>
      </c>
      <c r="G50" s="13">
        <f>IFERROR(VLOOKUP("交易性金融资产*",Source!bsa,5,0)/10000+VLOOKUP("可供出售*",Source!bsa,5,0)/10000+VLOOKUP("其他流动资产*",Source!bsa,5,0)/10000+VLOOKUP("一年内到期的非流动资产*",Source!bsa,5,0)/10000,0)</f>
        <v>3.5493999999999999</v>
      </c>
      <c r="H50" s="13">
        <f t="shared" si="6"/>
        <v>0.46689999999999898</v>
      </c>
      <c r="I50" s="6">
        <f t="shared" si="7"/>
        <v>5.8129256358860015E-2</v>
      </c>
      <c r="J50" s="6">
        <f>IFERROR(D50/#REF!,0)</f>
        <v>0</v>
      </c>
      <c r="K50" s="28"/>
    </row>
    <row r="51" spans="2:11" ht="20.2" customHeight="1" x14ac:dyDescent="0.3">
      <c r="B51" s="27"/>
      <c r="C51" s="126" t="s">
        <v>652</v>
      </c>
      <c r="D51" s="127"/>
      <c r="E51" s="127"/>
      <c r="F51" s="127"/>
      <c r="G51" s="127"/>
      <c r="H51" s="127"/>
      <c r="I51" s="127"/>
      <c r="J51" s="128"/>
      <c r="K51" s="28"/>
    </row>
    <row r="52" spans="2:11" ht="20.2" customHeight="1" x14ac:dyDescent="0.3">
      <c r="B52" s="27"/>
      <c r="C52" s="63" t="s">
        <v>255</v>
      </c>
      <c r="D52" s="7">
        <f>Source!$C$3</f>
        <v>42916</v>
      </c>
      <c r="E52" s="7">
        <f>Source!$D$3</f>
        <v>42551</v>
      </c>
      <c r="F52" s="7">
        <f>Source!$E$3</f>
        <v>42185</v>
      </c>
      <c r="G52" s="7">
        <f>Source!$F$3</f>
        <v>41820</v>
      </c>
      <c r="H52" s="38" t="s">
        <v>634</v>
      </c>
      <c r="I52" s="66"/>
      <c r="J52" s="67"/>
      <c r="K52" s="28"/>
    </row>
    <row r="53" spans="2:11" ht="20.2" customHeight="1" x14ac:dyDescent="0.3">
      <c r="B53" s="27"/>
      <c r="C53" s="62" t="s">
        <v>653</v>
      </c>
      <c r="D53" s="13">
        <f>IFERROR(VLOOKUP("短期借款*",Source!bsa,2,0)/10000+VLOOKUP("一年内到期的非流动负债*",Source!bsa,2,0)/10000+VLOOKUP("其他流动负债*",Source!bsa,2,0)/10000,0)</f>
        <v>1.15E-2</v>
      </c>
      <c r="E53" s="13">
        <f>IFERROR(VLOOKUP("短期借款*",Source!bsa,3,0)/10000+VLOOKUP("一年内到期的非流动负债*",Source!bsa,3,0)/10000+VLOOKUP("其他流动负债*",Source!bsa,3,0)/10000,0)</f>
        <v>1.4800000000000001E-2</v>
      </c>
      <c r="F53" s="13">
        <f>IFERROR(VLOOKUP("短期借款*",Source!bsa,4,0)/10000+VLOOKUP("一年内到期的非流动负债*",Source!bsa,4,0)/10000+VLOOKUP("其他流动负债*",Source!bsa,4,0)/10000,0)</f>
        <v>1.8100000000000002E-2</v>
      </c>
      <c r="G53" s="13">
        <f>IFERROR(VLOOKUP("短期借款*",Source!bsa,5,0)/10000+VLOOKUP("一年内到期的非流动负债*",Source!bsa,5,0)/10000+VLOOKUP("其他流动负债*",Source!bsa,5,0)/10000,0)</f>
        <v>1.7000000000000001E-2</v>
      </c>
      <c r="H53" s="13">
        <f t="shared" ref="H53" si="9">D53-E53</f>
        <v>-3.3000000000000008E-3</v>
      </c>
      <c r="I53" s="76"/>
      <c r="J53" s="77"/>
      <c r="K53" s="28"/>
    </row>
    <row r="54" spans="2:11" ht="20.2" customHeight="1" x14ac:dyDescent="0.3">
      <c r="B54" s="27"/>
      <c r="C54" s="62" t="s">
        <v>654</v>
      </c>
      <c r="D54" s="13">
        <f>IFERROR(VLOOKUP("财务费用*",Source!isa,2,0)/10000,0)</f>
        <v>-7.1000000000000004E-3</v>
      </c>
      <c r="E54" s="13">
        <f>IFERROR(VLOOKUP("财务费用*",Source!isa,3,0)/10000,0)</f>
        <v>-3.44E-2</v>
      </c>
      <c r="F54" s="13">
        <f>IFERROR(VLOOKUP("财务费用*",Source!isa,4,0)/10000,0)</f>
        <v>-9.9400000000000002E-2</v>
      </c>
      <c r="G54" s="13">
        <f>IFERROR(VLOOKUP("财务费用*",Source!isa,5,0)/10000,0)</f>
        <v>-2.0799999999999999E-2</v>
      </c>
      <c r="H54" s="13">
        <f t="shared" ref="H54" si="10">D54-E54</f>
        <v>2.7299999999999998E-2</v>
      </c>
      <c r="I54" s="134" t="s">
        <v>668</v>
      </c>
      <c r="J54" s="135"/>
      <c r="K54" s="28"/>
    </row>
    <row r="55" spans="2:11" ht="20.2" customHeight="1" x14ac:dyDescent="0.3">
      <c r="B55" s="27"/>
      <c r="C55" s="62" t="s">
        <v>657</v>
      </c>
      <c r="D55" s="13">
        <f>IFERROR(VLOOKUP("货币*",Source!bsa,2,0)/10000,0)</f>
        <v>2.7073</v>
      </c>
      <c r="E55" s="13">
        <f>IFERROR(VLOOKUP("货币*",Source!bsa,3,0)/10000,0)</f>
        <v>4.2762000000000002</v>
      </c>
      <c r="F55" s="13">
        <f>IFERROR(VLOOKUP("货币*",Source!bsa,4,0)/10000,0)</f>
        <v>5.6250999999999998</v>
      </c>
      <c r="G55" s="13">
        <f>IFERROR(VLOOKUP("货币*",Source!bsa,5,0)/10000,0)</f>
        <v>6.6512000000000002</v>
      </c>
      <c r="H55" s="13">
        <f>D55-E55</f>
        <v>-1.5689000000000002</v>
      </c>
      <c r="I55" s="76"/>
      <c r="J55" s="77"/>
      <c r="K55" s="28"/>
    </row>
    <row r="56" spans="2:11" ht="20.2" customHeight="1" x14ac:dyDescent="0.3">
      <c r="B56" s="27"/>
      <c r="C56" s="69" t="s">
        <v>658</v>
      </c>
      <c r="D56" s="70">
        <f>D53+D54-D55</f>
        <v>-2.7029000000000001</v>
      </c>
      <c r="E56" s="70">
        <f t="shared" ref="E56:G56" si="11">E53+E54-E55</f>
        <v>-4.2957999999999998</v>
      </c>
      <c r="F56" s="70">
        <f t="shared" si="11"/>
        <v>-5.7063999999999995</v>
      </c>
      <c r="G56" s="70">
        <f t="shared" si="11"/>
        <v>-6.6550000000000002</v>
      </c>
      <c r="H56" s="13">
        <f>D56-E56</f>
        <v>1.5928999999999998</v>
      </c>
      <c r="I56" s="122"/>
      <c r="J56" s="123"/>
      <c r="K56" s="28"/>
    </row>
    <row r="57" spans="2:11" ht="20.2" customHeight="1" x14ac:dyDescent="0.3">
      <c r="B57" s="27"/>
      <c r="C57" s="72" t="s">
        <v>669</v>
      </c>
      <c r="D57" s="13">
        <f>IFERROR(VLOOKUP("经营活动产生的现金流量净额*",Source!cfa,2,0)/10000,0)</f>
        <v>-1.7096</v>
      </c>
      <c r="E57" s="13">
        <f>IFERROR(VLOOKUP("经营活动产生的现金流量净额*",Source!cfa,3,0)/10000,0)</f>
        <v>0.7772</v>
      </c>
      <c r="F57" s="13">
        <f>IFERROR(VLOOKUP("经营活动产生的现金流量净额*",Source!cfa,4,0)/10000,0)</f>
        <v>-0.46060000000000001</v>
      </c>
      <c r="G57" s="13">
        <f>IFERROR(VLOOKUP("经营活动产生的现金流量净额*",Source!cfa,5,0)/10000,0)</f>
        <v>0.68289999999999995</v>
      </c>
      <c r="H57" s="13">
        <f t="shared" ref="H57:H58" si="12">D57-E57</f>
        <v>-2.4868000000000001</v>
      </c>
      <c r="I57" s="132"/>
      <c r="J57" s="133"/>
      <c r="K57" s="28"/>
    </row>
    <row r="58" spans="2:11" ht="20.2" customHeight="1" x14ac:dyDescent="0.3">
      <c r="B58" s="27"/>
      <c r="C58" s="69" t="s">
        <v>670</v>
      </c>
      <c r="D58" s="70">
        <f>D56-D57</f>
        <v>-0.99330000000000007</v>
      </c>
      <c r="E58" s="70">
        <f t="shared" ref="E58:G58" si="13">E56-E57</f>
        <v>-5.0729999999999995</v>
      </c>
      <c r="F58" s="70">
        <f t="shared" si="13"/>
        <v>-5.2457999999999991</v>
      </c>
      <c r="G58" s="70">
        <f t="shared" si="13"/>
        <v>-7.3379000000000003</v>
      </c>
      <c r="H58" s="13">
        <f t="shared" si="12"/>
        <v>4.079699999999999</v>
      </c>
      <c r="I58" s="73"/>
      <c r="J58" s="74"/>
      <c r="K58" s="28"/>
    </row>
    <row r="59" spans="2:11" ht="20.2" customHeight="1" x14ac:dyDescent="0.3">
      <c r="B59" s="27"/>
      <c r="C59" s="56" t="s">
        <v>671</v>
      </c>
      <c r="D59" s="13">
        <f>IFERROR(VLOOKUP("交易性金融资产*",Source!bsa,2,0)/10000+VLOOKUP("可供出售*",Source!bsa,2,0)/10000+VLOOKUP("其他流动资产*",Source!bsa,2,0)/10000+VLOOKUP("一年内到期的非流动资产*",Source!bsa,2,0)/10000,0)</f>
        <v>8.4989999999999988</v>
      </c>
      <c r="E59" s="13">
        <f>IFERROR(VLOOKUP("交易性金融资产*",Source!bsa,3,0)/10000+VLOOKUP("可供出售*",Source!bsa,3,0)/10000+VLOOKUP("其他流动资产*",Source!bsa,3,0)/10000+VLOOKUP("一年内到期的非流动资产*",Source!bsa,3,0)/10000,0)</f>
        <v>8.0320999999999998</v>
      </c>
      <c r="F59" s="13">
        <f>IFERROR(VLOOKUP("交易性金融资产*",Source!bsa,4,0)/10000+VLOOKUP("可供出售*",Source!bsa,4,0)/10000+VLOOKUP("其他流动资产*",Source!bsa,4,0)/10000+VLOOKUP("一年内到期的非流动资产*",Source!bsa,4,0)/10000,0)</f>
        <v>4.1402999999999999</v>
      </c>
      <c r="G59" s="13">
        <f>IFERROR(VLOOKUP("交易性金融资产*",Source!bsa,5,0)/10000+VLOOKUP("可供出售*",Source!bsa,5,0)/10000+VLOOKUP("其他流动资产*",Source!bsa,5,0)/10000+VLOOKUP("一年内到期的非流动资产*",Source!bsa,5,0)/10000,0)</f>
        <v>3.5493999999999999</v>
      </c>
      <c r="H59" s="13">
        <f t="shared" ref="H59:H60" si="14">D59-E59</f>
        <v>0.46689999999999898</v>
      </c>
      <c r="I59" s="119" t="s">
        <v>672</v>
      </c>
      <c r="J59" s="120"/>
      <c r="K59" s="28"/>
    </row>
    <row r="60" spans="2:11" ht="20.2" customHeight="1" x14ac:dyDescent="0.3">
      <c r="B60" s="27"/>
      <c r="C60" s="54" t="s">
        <v>673</v>
      </c>
      <c r="D60" s="71">
        <f>D58-D59</f>
        <v>-9.4922999999999984</v>
      </c>
      <c r="E60" s="71">
        <f t="shared" ref="E60:G60" si="15">E58-E59</f>
        <v>-13.1051</v>
      </c>
      <c r="F60" s="71">
        <f t="shared" si="15"/>
        <v>-9.386099999999999</v>
      </c>
      <c r="G60" s="71">
        <f t="shared" si="15"/>
        <v>-10.8873</v>
      </c>
      <c r="H60" s="71">
        <f t="shared" si="14"/>
        <v>3.6128000000000018</v>
      </c>
      <c r="I60" s="119" t="s">
        <v>665</v>
      </c>
      <c r="J60" s="120"/>
      <c r="K60" s="28"/>
    </row>
    <row r="61" spans="2:11" ht="20.2" customHeight="1" x14ac:dyDescent="0.3">
      <c r="B61" s="27"/>
      <c r="C61" s="75" t="s">
        <v>659</v>
      </c>
      <c r="D61" s="13">
        <f>IFERROR(VLOOKUP("长期借款*",Source!bsa,2,0)/10000+VLOOKUP("应付债券*",Source!bsa,2,0)/10000,0)</f>
        <v>0</v>
      </c>
      <c r="E61" s="13">
        <f>IFERROR(VLOOKUP("长期借款*",Source!bsa,3,0)/10000+VLOOKUP("应付债券*",Source!bsa,3,0)/10000,0)</f>
        <v>0</v>
      </c>
      <c r="F61" s="13">
        <f>IFERROR(VLOOKUP("长期借款*",Source!bsa,4,0)/10000+VLOOKUP("应付债券*",Source!bsa,4,0)/10000,0)</f>
        <v>0</v>
      </c>
      <c r="G61" s="13">
        <f>IFERROR(VLOOKUP("长期借款*",Source!bsa,5,0)/10000+VLOOKUP("应付债券*",Source!bsa,5,0)/10000,0)</f>
        <v>0</v>
      </c>
      <c r="H61" s="13">
        <f t="shared" ref="H61:H65" si="16">D61-E61</f>
        <v>0</v>
      </c>
      <c r="I61" s="64"/>
      <c r="J61" s="65"/>
      <c r="K61" s="28"/>
    </row>
    <row r="62" spans="2:11" ht="20.2" customHeight="1" x14ac:dyDescent="0.3">
      <c r="B62" s="27"/>
      <c r="C62" s="75" t="s">
        <v>674</v>
      </c>
      <c r="D62" s="13">
        <f>IFERROR(VLOOKUP("固定资产(*",Source!bsa,2,0)/10000+VLOOKUP("无形资产(*",Source!bsa,2,0)/10000,0)</f>
        <v>5.9433000000000007</v>
      </c>
      <c r="E62" s="13">
        <f>IFERROR(VLOOKUP("固定资产(*",Source!bsa,3,0)/10000+VLOOKUP("无形资产(*",Source!bsa,3,0)/10000,0)</f>
        <v>5.9984000000000002</v>
      </c>
      <c r="F62" s="13">
        <f>IFERROR(VLOOKUP("固定资产(*",Source!bsa,4,0)/10000+VLOOKUP("无形资产(*",Source!bsa,4,0)/10000,0)</f>
        <v>5.7759999999999998</v>
      </c>
      <c r="G62" s="13">
        <f>IFERROR(VLOOKUP("固定资产(*",Source!bsa,5,0)/10000+VLOOKUP("无形资产(*",Source!bsa,5,0)/10000,0)</f>
        <v>5.0876000000000001</v>
      </c>
      <c r="H62" s="13">
        <f t="shared" si="16"/>
        <v>-5.5099999999999483E-2</v>
      </c>
      <c r="I62" s="64"/>
      <c r="J62" s="65"/>
      <c r="K62" s="28"/>
    </row>
    <row r="63" spans="2:11" ht="20.2" customHeight="1" x14ac:dyDescent="0.3">
      <c r="B63" s="27"/>
      <c r="C63" s="75" t="s">
        <v>675</v>
      </c>
      <c r="D63" s="13">
        <f>IFERROR(VLOOKUP("在建工程*",Source!bsa,2,0)/10000,0)</f>
        <v>3.9651999999999998</v>
      </c>
      <c r="E63" s="13">
        <f>IFERROR(VLOOKUP("在建工程*",Source!bsa,3,0)/10000,0)</f>
        <v>2.4740000000000002</v>
      </c>
      <c r="F63" s="13">
        <f>IFERROR(VLOOKUP("在建工程*",Source!bsa,4,0)/10000,0)</f>
        <v>2.1831</v>
      </c>
      <c r="G63" s="13">
        <f>IFERROR(VLOOKUP("在建工程*",Source!bsa,5,0)/10000,0)</f>
        <v>1.8906000000000001</v>
      </c>
      <c r="H63" s="13">
        <f t="shared" si="16"/>
        <v>1.4911999999999996</v>
      </c>
      <c r="I63" s="64"/>
      <c r="J63" s="65"/>
      <c r="K63" s="28"/>
    </row>
    <row r="64" spans="2:11" ht="20.2" customHeight="1" x14ac:dyDescent="0.3">
      <c r="B64" s="27"/>
      <c r="C64" s="75" t="s">
        <v>676</v>
      </c>
      <c r="D64" s="13">
        <f>IFERROR(VLOOKUP("可供出售*",Source!bsa,2,0)/10000+VLOOKUP("投资性房地产*",Source!bsa,2,0)/10000+VLOOKUP("持有至到期投资*",Source!bsa,2,0)/10000+VLOOKUP("长期股权投资*",Source!bsa,2,0)/10000,0)</f>
        <v>2.2450000000000001</v>
      </c>
      <c r="E64" s="13">
        <f>IFERROR(VLOOKUP("可供出售*",Source!bsa,3,0)/10000+VLOOKUP("投资性房地产*",Source!bsa,3,0)/10000+VLOOKUP("持有至到期投资*",Source!bsa,3,0)/10000+VLOOKUP("长期股权投资*",Source!bsa,3,0)/10000,0)</f>
        <v>2.2450000000000001</v>
      </c>
      <c r="F64" s="13">
        <f>IFERROR(VLOOKUP("可供出售*",Source!bsa,4,0)/10000+VLOOKUP("投资性房地产*",Source!bsa,4,0)/10000+VLOOKUP("持有至到期投资*",Source!bsa,4,0)/10000+VLOOKUP("长期股权投资*",Source!bsa,4,0)/10000,0)</f>
        <v>2.2450000000000001</v>
      </c>
      <c r="G64" s="13">
        <f>IFERROR(VLOOKUP("可供出售*",Source!bsa,5,0)/10000+VLOOKUP("投资性房地产*",Source!bsa,5,0)/10000+VLOOKUP("持有至到期投资*",Source!bsa,5,0)/10000+VLOOKUP("长期股权投资*",Source!bsa,5,0)/10000,0)</f>
        <v>0</v>
      </c>
      <c r="H64" s="13">
        <f t="shared" si="16"/>
        <v>0</v>
      </c>
      <c r="I64" s="64"/>
      <c r="J64" s="65"/>
      <c r="K64" s="28"/>
    </row>
    <row r="65" spans="2:11" ht="20.2" customHeight="1" x14ac:dyDescent="0.3">
      <c r="B65" s="27"/>
      <c r="C65" s="54" t="s">
        <v>660</v>
      </c>
      <c r="D65" s="71">
        <f>D60+D61-D62-D63-D64</f>
        <v>-21.645800000000001</v>
      </c>
      <c r="E65" s="71">
        <f t="shared" ref="E65:G65" si="17">E60+E61-E62-E63-E64</f>
        <v>-23.822500000000002</v>
      </c>
      <c r="F65" s="71">
        <f t="shared" si="17"/>
        <v>-19.590199999999999</v>
      </c>
      <c r="G65" s="71">
        <f t="shared" si="17"/>
        <v>-17.865500000000001</v>
      </c>
      <c r="H65" s="71">
        <f t="shared" si="16"/>
        <v>2.1767000000000003</v>
      </c>
      <c r="I65" s="64" t="s">
        <v>666</v>
      </c>
      <c r="J65" s="65" t="s">
        <v>667</v>
      </c>
      <c r="K65" s="28"/>
    </row>
    <row r="66" spans="2:11" ht="20.2" customHeight="1" x14ac:dyDescent="0.3">
      <c r="B66" s="27"/>
      <c r="C66" s="56" t="s">
        <v>661</v>
      </c>
      <c r="D66" s="13">
        <f>-1*IFERROR(VLOOKUP("应收账款*",Source!bsa,2,0)/10000+VLOOKUP("应收票据*",Source!bsa,2,0)/10000+VLOOKUP("预付*",Source!bsa,2,0)/10000-VLOOKUP("应付账款*",Source!bsa,2,0)/10000-VLOOKUP("应付票据*",Source!bsa,2,0)/10000-VLOOKUP("预收*",Source!bsa,2,0)/10000,0)</f>
        <v>0.7758999999999997</v>
      </c>
      <c r="E66" s="13">
        <f>-1*IFERROR(VLOOKUP("应收账款*",Source!bsa,3,0)/10000+VLOOKUP("应收票据*",Source!bsa,3,0)/10000+VLOOKUP("预付*",Source!bsa,3,0)/10000-VLOOKUP("应付账款*",Source!bsa,3,0)/10000-VLOOKUP("应付票据*",Source!bsa,3,0)/10000-VLOOKUP("预收*",Source!bsa,3,0)/10000,0)</f>
        <v>1.5928000000000002</v>
      </c>
      <c r="F66" s="13">
        <f>-1*IFERROR(VLOOKUP("应收账款*",Source!bsa,4,0)/10000+VLOOKUP("应收票据*",Source!bsa,4,0)/10000+VLOOKUP("预付*",Source!bsa,4,0)/10000-VLOOKUP("应付账款*",Source!bsa,4,0)/10000-VLOOKUP("应付票据*",Source!bsa,4,0)/10000-VLOOKUP("预收*",Source!bsa,4,0)/10000,0)</f>
        <v>1.6645000000000001</v>
      </c>
      <c r="G66" s="13">
        <f>-1*IFERROR(VLOOKUP("应收账款*",Source!bsa,5,0)/10000+VLOOKUP("应收票据*",Source!bsa,5,0)/10000+VLOOKUP("预付*",Source!bsa,5,0)/10000-VLOOKUP("应付账款*",Source!bsa,5,0)/10000-VLOOKUP("应付票据*",Source!bsa,5,0)/10000-VLOOKUP("预收*",Source!bsa,5,0)/10000,0)</f>
        <v>1.5325999999999997</v>
      </c>
      <c r="H66" s="13">
        <f t="shared" si="6"/>
        <v>-0.81690000000000051</v>
      </c>
      <c r="I66" s="119" t="s">
        <v>677</v>
      </c>
      <c r="J66" s="120"/>
      <c r="K66" s="28"/>
    </row>
    <row r="67" spans="2:11" ht="20.2" customHeight="1" x14ac:dyDescent="0.3">
      <c r="B67" s="27"/>
      <c r="C67" s="56" t="s">
        <v>662</v>
      </c>
      <c r="D67" s="13">
        <f>D41/D49</f>
        <v>8.9251759811872805E-4</v>
      </c>
      <c r="E67" s="13">
        <f>E41/E49</f>
        <v>1.0943103257052018E-3</v>
      </c>
      <c r="F67" s="13">
        <f>F41/F49</f>
        <v>1.6978565733314576E-3</v>
      </c>
      <c r="G67" s="13">
        <f>G41/G49</f>
        <v>1.5721380152219952E-3</v>
      </c>
      <c r="H67" s="13">
        <f t="shared" si="6"/>
        <v>-2.0179272758647372E-4</v>
      </c>
      <c r="I67" s="119" t="s">
        <v>647</v>
      </c>
      <c r="J67" s="120"/>
      <c r="K67" s="28"/>
    </row>
    <row r="68" spans="2:11" ht="20.2" customHeight="1" x14ac:dyDescent="0.3">
      <c r="B68" s="27"/>
      <c r="C68" s="56" t="s">
        <v>663</v>
      </c>
      <c r="D68" s="13">
        <f>IFERROR((VLOOKUP("所得税*",Source!isa,2,0)+VLOOKUP("财务费用*",Source!isa,2,0)+VLOOKUP("净利润*",Source!isa,2,0))/VLOOKUP("财务费用*",Source!isa,2,0),0)</f>
        <v>-284.21126760563379</v>
      </c>
      <c r="E68" s="13">
        <f>IFERROR((VLOOKUP("所得税*",Source!isa,3,0)+VLOOKUP("财务费用*",Source!isa,3,0)+VLOOKUP("净利润*",Source!isa,3,0))/VLOOKUP("财务费用*",Source!isa,3,0),0)</f>
        <v>-61.575581395348834</v>
      </c>
      <c r="F68" s="13">
        <f>IFERROR((VLOOKUP("所得税*",Source!isa,4,0)+VLOOKUP("财务费用*",Source!isa,4,0)+VLOOKUP("净利润*",Source!isa,4,0))/VLOOKUP("财务费用*",Source!isa,4,0),0)</f>
        <v>-22.531187122736419</v>
      </c>
      <c r="G68" s="13">
        <f>IFERROR((VLOOKUP("所得税*",Source!isa,5,0)+VLOOKUP("财务费用*",Source!isa,5,0)+VLOOKUP("净利润*",Source!isa,5,0))/VLOOKUP("财务费用*",Source!isa,5,0),0)</f>
        <v>-98.5</v>
      </c>
      <c r="H68" s="38">
        <f>D68-E68</f>
        <v>-222.63568621028497</v>
      </c>
      <c r="I68" s="57" t="s">
        <v>645</v>
      </c>
      <c r="J68" s="57" t="s">
        <v>646</v>
      </c>
      <c r="K68" s="28"/>
    </row>
    <row r="69" spans="2:11" ht="20.2" customHeight="1" x14ac:dyDescent="0.3">
      <c r="B69" s="27"/>
      <c r="C69" s="56" t="s">
        <v>664</v>
      </c>
      <c r="D69" s="13">
        <f>IFERROR(VLOOKUP("资产减值*",Source!isa,2,0)/(VLOOKUP("存货*",Source!bsa,2,0)+VLOOKUP("应收账款*",Source!bsa,2,0)+VLOOKUP("其他应收款*",Source!bsa,2,0)),0)</f>
        <v>-5.2658141062875531E-3</v>
      </c>
      <c r="E69" s="13">
        <f>IFERROR(VLOOKUP("资产减值*",Source!isa,3,0)/(VLOOKUP("存货*",Source!bsa,3,0)+VLOOKUP("应收账款*",Source!bsa,3,0)+VLOOKUP("其他应收款*",Source!bsa,3,0)),0)</f>
        <v>-3.2545049551171755E-3</v>
      </c>
      <c r="F69" s="13">
        <f>IFERROR(VLOOKUP("资产减值*",Source!isa,4,0)/(VLOOKUP("存货*",Source!bsa,4,0)+VLOOKUP("应收账款*",Source!bsa,4,0)+VLOOKUP("其他应收款*",Source!bsa,4,0)),0)</f>
        <v>1.9159709867250581E-3</v>
      </c>
      <c r="G69" s="13">
        <f>IFERROR(VLOOKUP("资产减值*",Source!isa,5,0)/(VLOOKUP("存货*",Source!bsa,5,0)+VLOOKUP("应收账款*",Source!bsa,5,0)+VLOOKUP("其他应收款*",Source!bsa,5,0)),0)</f>
        <v>-4.1144813284837311E-4</v>
      </c>
      <c r="H69" s="13">
        <f t="shared" si="6"/>
        <v>-2.0113091511703776E-3</v>
      </c>
      <c r="I69" s="119" t="s">
        <v>651</v>
      </c>
      <c r="J69" s="120"/>
      <c r="K69" s="28"/>
    </row>
    <row r="70" spans="2:11" ht="20.2" customHeight="1" x14ac:dyDescent="0.3">
      <c r="B70" s="27"/>
      <c r="C70" s="44"/>
      <c r="D70" s="44"/>
      <c r="E70" s="44"/>
      <c r="F70" s="44"/>
      <c r="G70" s="44"/>
      <c r="H70" s="44"/>
      <c r="I70" s="44"/>
      <c r="J70" s="44"/>
      <c r="K70" s="28"/>
    </row>
    <row r="71" spans="2:11" ht="20.2" customHeight="1" x14ac:dyDescent="0.3">
      <c r="B71" s="27"/>
      <c r="C71" s="125" t="s">
        <v>569</v>
      </c>
      <c r="D71" s="125"/>
      <c r="E71" s="125"/>
      <c r="F71" s="125"/>
      <c r="G71" s="125"/>
      <c r="H71" s="125"/>
      <c r="I71" s="125"/>
      <c r="J71" s="125"/>
      <c r="K71" s="28"/>
    </row>
    <row r="72" spans="2:11" ht="20.2" customHeight="1" x14ac:dyDescent="0.3">
      <c r="B72" s="27"/>
      <c r="C72" s="109" t="s">
        <v>720</v>
      </c>
      <c r="D72" s="109"/>
      <c r="E72" s="109"/>
      <c r="F72" s="109"/>
      <c r="G72" s="109"/>
      <c r="H72" s="109"/>
      <c r="I72" s="109"/>
      <c r="J72" s="109"/>
      <c r="K72" s="28"/>
    </row>
    <row r="73" spans="2:11" ht="20.2" customHeight="1" x14ac:dyDescent="0.3">
      <c r="B73" s="27"/>
      <c r="C73" s="46" t="s">
        <v>576</v>
      </c>
      <c r="D73" s="7">
        <f>Source!$C$3</f>
        <v>42916</v>
      </c>
      <c r="E73" s="7">
        <f>Source!$D$3</f>
        <v>42551</v>
      </c>
      <c r="F73" s="7">
        <f>Source!$E$3</f>
        <v>42185</v>
      </c>
      <c r="G73" s="7">
        <f>Source!$F$3</f>
        <v>41820</v>
      </c>
      <c r="H73" s="8" t="s">
        <v>580</v>
      </c>
      <c r="I73" s="8" t="s">
        <v>586</v>
      </c>
      <c r="J73" s="8" t="s">
        <v>251</v>
      </c>
      <c r="K73" s="28"/>
    </row>
    <row r="74" spans="2:11" ht="20.2" customHeight="1" x14ac:dyDescent="0.3">
      <c r="B74" s="27"/>
      <c r="C74" s="46" t="s">
        <v>570</v>
      </c>
      <c r="D74" s="13">
        <f>IFERROR(VLOOKUP("营业收入*",Source!isa,2,0)/10000,0)</f>
        <v>9.6128999999999998</v>
      </c>
      <c r="E74" s="13">
        <f>IFERROR(VLOOKUP("营业收入*",Source!isa,3,0)/10000,0)</f>
        <v>8.8115000000000006</v>
      </c>
      <c r="F74" s="13">
        <f>IFERROR(VLOOKUP("营业收入*",Source!isa,4,0)/10000,0)</f>
        <v>8.6262000000000008</v>
      </c>
      <c r="G74" s="13">
        <f>IFERROR(VLOOKUP("营业收入*",Source!isa,5,0)/10000,0)</f>
        <v>8.5398999999999994</v>
      </c>
      <c r="H74" s="13">
        <f t="shared" ref="H74" si="18">D74-E74</f>
        <v>0.80139999999999922</v>
      </c>
      <c r="I74" s="6">
        <f t="shared" ref="I74" si="19">IFERROR(D74/E74-1,0)</f>
        <v>9.0949327583271788E-2</v>
      </c>
      <c r="J74" s="6">
        <f t="shared" ref="J74" si="20">IFERROR(POWER(D74/G74,1/3)-1,0)</f>
        <v>4.024079094224331E-2</v>
      </c>
      <c r="K74" s="28"/>
    </row>
    <row r="75" spans="2:11" ht="20.2" customHeight="1" x14ac:dyDescent="0.3">
      <c r="B75" s="27"/>
      <c r="C75" s="53" t="s">
        <v>704</v>
      </c>
      <c r="D75" s="71">
        <f>IFERROR((VLOOKUP("营业收入*",Source!isa,2,0)-VLOOKUP("营业成本*",Source!isa,2,0)-VLOOKUP("销售费用*",Source!isa,2,0)-VLOOKUP("管理费用*",Source!isa,2,0)-VLOOKUP("财务费用*",Source!isa,2,0)-VLOOKUP("营业税金及附加*",Source!isa,2,0))/10000,0)</f>
        <v>1.7367999999999999</v>
      </c>
      <c r="E75" s="71">
        <f>IFERROR((VLOOKUP("营业收入*",Source!isa,3,0)-VLOOKUP("营业成本*",Source!isa,3,0)-VLOOKUP("销售费用*",Source!isa,3,0)-VLOOKUP("管理费用*",Source!isa,3,0)-VLOOKUP("财务费用*",Source!isa,3,0)-VLOOKUP("营业税金及附加*",Source!isa,3,0))/10000,0)</f>
        <v>1.9490000000000001</v>
      </c>
      <c r="F75" s="71">
        <f>IFERROR((VLOOKUP("营业收入*",Source!isa,4,0)-VLOOKUP("营业成本*",Source!isa,4,0)-VLOOKUP("销售费用*",Source!isa,4,0)-VLOOKUP("管理费用*",Source!isa,4,0)-VLOOKUP("财务费用*",Source!isa,4,0)-VLOOKUP("营业税金及附加*",Source!isa,4,0))/10000,0)</f>
        <v>2.1753</v>
      </c>
      <c r="G75" s="71">
        <f>IFERROR((VLOOKUP("营业收入*",Source!isa,5,0)-VLOOKUP("营业成本*",Source!isa,5,0)-VLOOKUP("销售费用*",Source!isa,5,0)-VLOOKUP("管理费用*",Source!isa,5,0)-VLOOKUP("财务费用*",Source!isa,5,0)-VLOOKUP("营业税金及附加*",Source!isa,5,0))/10000,0)</f>
        <v>1.9907999999999999</v>
      </c>
      <c r="H75" s="71">
        <f t="shared" ref="H75" si="21">D75-E75</f>
        <v>-0.21220000000000017</v>
      </c>
      <c r="I75" s="81">
        <f t="shared" ref="I75" si="22">IFERROR(D75/E75-1,0)</f>
        <v>-0.10887634684453573</v>
      </c>
      <c r="J75" s="81">
        <f t="shared" ref="J75" si="23">IFERROR(POWER(D75/G75,1/3)-1,0)</f>
        <v>-4.4477922125929381E-2</v>
      </c>
      <c r="K75" s="28"/>
    </row>
    <row r="76" spans="2:11" ht="20.2" customHeight="1" x14ac:dyDescent="0.3">
      <c r="B76" s="27"/>
      <c r="C76" s="46" t="s">
        <v>571</v>
      </c>
      <c r="D76" s="13">
        <f>IFERROR(VLOOKUP("投资收益*",Source!isa,2,0)/10000,0)</f>
        <v>0.13270000000000001</v>
      </c>
      <c r="E76" s="13">
        <f>IFERROR(VLOOKUP("投资收益*",Source!isa,3,0)/10000,0)</f>
        <v>0.1258</v>
      </c>
      <c r="F76" s="13">
        <f>IFERROR(VLOOKUP("投资收益*",Source!isa,4,0)/10000,0)</f>
        <v>0.14580000000000001</v>
      </c>
      <c r="G76" s="13">
        <f>IFERROR(VLOOKUP("投资收益*",Source!isa,5,0)/10000,0)</f>
        <v>3.8699999999999998E-2</v>
      </c>
      <c r="H76" s="13">
        <f t="shared" ref="H76:H89" si="24">D76-E76</f>
        <v>6.9000000000000172E-3</v>
      </c>
      <c r="I76" s="6">
        <f t="shared" ref="I76:I89" si="25">IFERROR(D76/E76-1,0)</f>
        <v>5.4848966613672667E-2</v>
      </c>
      <c r="J76" s="6">
        <f t="shared" ref="J76:J89" si="26">IFERROR(POWER(D76/G76,1/3)-1,0)</f>
        <v>0.5079489965552233</v>
      </c>
      <c r="K76" s="28"/>
    </row>
    <row r="77" spans="2:11" ht="20.2" customHeight="1" x14ac:dyDescent="0.3">
      <c r="B77" s="27"/>
      <c r="C77" s="79" t="s">
        <v>706</v>
      </c>
      <c r="D77" s="13">
        <f>IFERROR(VLOOKUP("公允价值变动收益*",Source!isa,2,0)/10000,0)</f>
        <v>0</v>
      </c>
      <c r="E77" s="13">
        <f>IFERROR(VLOOKUP("公允价值变动收益*",Source!isa,3,0)/10000,0)</f>
        <v>0</v>
      </c>
      <c r="F77" s="13">
        <f>IFERROR(VLOOKUP("公允价值变动收益*",Source!isa,4,0)/10000,0)</f>
        <v>0</v>
      </c>
      <c r="G77" s="13">
        <f>IFERROR(VLOOKUP("公允价值变动收益*",Source!isa,5,0)/10000,0)</f>
        <v>0</v>
      </c>
      <c r="H77" s="13">
        <f t="shared" ref="H77" si="27">D77-E77</f>
        <v>0</v>
      </c>
      <c r="I77" s="6">
        <f t="shared" ref="I77" si="28">IFERROR(D77/E77-1,0)</f>
        <v>0</v>
      </c>
      <c r="J77" s="6">
        <f t="shared" ref="J77" si="29">IFERROR(POWER(D77/G77,1/3)-1,0)</f>
        <v>0</v>
      </c>
      <c r="K77" s="28"/>
    </row>
    <row r="78" spans="2:11" ht="20.2" customHeight="1" x14ac:dyDescent="0.3">
      <c r="B78" s="27"/>
      <c r="C78" s="79" t="s">
        <v>705</v>
      </c>
      <c r="D78" s="13">
        <f>IFERROR(VLOOKUP("资产减值损失*",Source!isa,2,0)/10000,0)</f>
        <v>-5.5300000000000002E-2</v>
      </c>
      <c r="E78" s="13">
        <f>IFERROR(VLOOKUP("资产减值损失*",Source!isa,3,0)/10000,0)</f>
        <v>-2.4400000000000002E-2</v>
      </c>
      <c r="F78" s="13">
        <f>IFERROR(VLOOKUP("资产减值损失*",Source!isa,4,0)/10000,0)</f>
        <v>1.4E-2</v>
      </c>
      <c r="G78" s="13">
        <f>IFERROR(VLOOKUP("资产减值损失*",Source!isa,5,0)/10000,0)</f>
        <v>-2.5000000000000001E-3</v>
      </c>
      <c r="H78" s="13">
        <f t="shared" ref="H78" si="30">D78-E78</f>
        <v>-3.09E-2</v>
      </c>
      <c r="I78" s="6">
        <f t="shared" ref="I78" si="31">IFERROR(D78/E78-1,0)</f>
        <v>1.2663934426229506</v>
      </c>
      <c r="J78" s="6">
        <f t="shared" ref="J78" si="32">IFERROR(POWER(D78/G78,1/3)-1,0)</f>
        <v>1.8071247126481289</v>
      </c>
      <c r="K78" s="28"/>
    </row>
    <row r="79" spans="2:11" ht="20.2" customHeight="1" x14ac:dyDescent="0.3">
      <c r="B79" s="27"/>
      <c r="C79" s="46" t="s">
        <v>581</v>
      </c>
      <c r="D79" s="13">
        <f>IFERROR(VLOOKUP("营业外收入*",Source!isa,2,0)/10000-VLOOKUP("营业外支出*",Source!isa,2,0)/10000,0)</f>
        <v>0.10009999999999999</v>
      </c>
      <c r="E79" s="13">
        <f>IFERROR(VLOOKUP("营业外收入*",Source!isa,3,0)/10000-VLOOKUP("营业外支出*",Source!isa,3,0)/10000,0)</f>
        <v>5.33E-2</v>
      </c>
      <c r="F79" s="13">
        <f>IFERROR(VLOOKUP("营业外收入*",Source!isa,4,0)/10000-VLOOKUP("营业外支出*",Source!isa,4,0)/10000,0)</f>
        <v>3.1800000000000002E-2</v>
      </c>
      <c r="G79" s="13">
        <f>IFERROR(VLOOKUP("营业外收入*",Source!isa,5,0)/10000-VLOOKUP("营业外支出*",Source!isa,5,0)/10000,0)</f>
        <v>3.7599999999999995E-2</v>
      </c>
      <c r="H79" s="13">
        <f t="shared" si="24"/>
        <v>4.6799999999999994E-2</v>
      </c>
      <c r="I79" s="6">
        <f t="shared" si="25"/>
        <v>0.87804878048780477</v>
      </c>
      <c r="J79" s="6">
        <f t="shared" si="26"/>
        <v>0.38595377010446663</v>
      </c>
      <c r="K79" s="28"/>
    </row>
    <row r="80" spans="2:11" ht="20.2" customHeight="1" x14ac:dyDescent="0.3">
      <c r="B80" s="27"/>
      <c r="C80" s="82" t="s">
        <v>707</v>
      </c>
      <c r="D80" s="71">
        <f>IFERROR(VLOOKUP("净利润*",Source!isa,2,0)/10000,0)</f>
        <v>1.5859000000000001</v>
      </c>
      <c r="E80" s="71">
        <f>IFERROR(VLOOKUP("净利润*",Source!isa,3,0)/10000,0)</f>
        <v>1.6936</v>
      </c>
      <c r="F80" s="71">
        <f>IFERROR(VLOOKUP("净利润*",Source!isa,4,0)/10000,0)</f>
        <v>1.8290999999999999</v>
      </c>
      <c r="G80" s="71">
        <f>IFERROR(VLOOKUP("净利润*",Source!isa,5,0)/10000,0)</f>
        <v>1.5755999999999999</v>
      </c>
      <c r="H80" s="71">
        <f t="shared" ref="H80" si="33">D80-E80</f>
        <v>-0.10769999999999991</v>
      </c>
      <c r="I80" s="81">
        <f t="shared" ref="I80" si="34">IFERROR(D80/E80-1,0)</f>
        <v>-6.3592347661785453E-2</v>
      </c>
      <c r="J80" s="81">
        <f t="shared" ref="J80" si="35">IFERROR(POWER(D80/G80,1/3)-1,0)</f>
        <v>2.1743329100998299E-3</v>
      </c>
      <c r="K80" s="28"/>
    </row>
    <row r="81" spans="2:11" ht="20.2" customHeight="1" x14ac:dyDescent="0.3">
      <c r="B81" s="27"/>
      <c r="C81" s="78" t="s">
        <v>721</v>
      </c>
      <c r="D81" s="13">
        <f>IFERROR(VLOOKUP("少数股东损益*",Source!isa,2,0)/10000,0)</f>
        <v>0</v>
      </c>
      <c r="E81" s="13">
        <f>IFERROR(VLOOKUP("少数股东损益*",Source!isa,3,0)/10000,0)</f>
        <v>0</v>
      </c>
      <c r="F81" s="13">
        <f>IFERROR(VLOOKUP("少数股东损益*",Source!isa,4,0)/10000,0)</f>
        <v>0</v>
      </c>
      <c r="G81" s="13">
        <f>IFERROR(VLOOKUP("少数股东损益*",Source!isa,5,0)/10000,0)</f>
        <v>0</v>
      </c>
      <c r="H81" s="13">
        <f t="shared" ref="H81:H82" si="36">D81-E81</f>
        <v>0</v>
      </c>
      <c r="I81" s="6">
        <f t="shared" ref="I81:I82" si="37">IFERROR(D81/E81-1,0)</f>
        <v>0</v>
      </c>
      <c r="J81" s="6">
        <f t="shared" ref="J81:J82" si="38">IFERROR(POWER(D81/G81,1/3)-1,0)</f>
        <v>0</v>
      </c>
      <c r="K81" s="28"/>
    </row>
    <row r="82" spans="2:11" ht="20.2" customHeight="1" x14ac:dyDescent="0.3">
      <c r="B82" s="27"/>
      <c r="C82" s="82" t="s">
        <v>722</v>
      </c>
      <c r="D82" s="71">
        <f>IFERROR((VLOOKUP("净利润*",Source!isa,2,0)-VLOOKUP("少数股东损益*",Source!isa,2,0))/10000,0)</f>
        <v>1.5859000000000001</v>
      </c>
      <c r="E82" s="71">
        <f>IFERROR((VLOOKUP("净利润*",Source!isa,3,0)-VLOOKUP("少数股东损益*",Source!isa,3,0))/10000,0)</f>
        <v>1.6936</v>
      </c>
      <c r="F82" s="71">
        <f>IFERROR((VLOOKUP("净利润*",Source!isa,4,0)-VLOOKUP("少数股东损益*",Source!isa,4,0))/10000,0)</f>
        <v>1.8290999999999999</v>
      </c>
      <c r="G82" s="71">
        <f>IFERROR((VLOOKUP("净利润*",Source!isa,5,0)-VLOOKUP("少数股东损益*",Source!isa,5,0))/10000,0)</f>
        <v>1.5755999999999999</v>
      </c>
      <c r="H82" s="71">
        <f t="shared" si="36"/>
        <v>-0.10769999999999991</v>
      </c>
      <c r="I82" s="81">
        <f t="shared" si="37"/>
        <v>-6.3592347661785453E-2</v>
      </c>
      <c r="J82" s="81">
        <f t="shared" si="38"/>
        <v>2.1743329100998299E-3</v>
      </c>
      <c r="K82" s="28"/>
    </row>
    <row r="83" spans="2:11" ht="24.85" customHeight="1" x14ac:dyDescent="0.3">
      <c r="B83" s="27"/>
      <c r="C83" s="136" t="s">
        <v>710</v>
      </c>
      <c r="D83" s="99"/>
      <c r="E83" s="99"/>
      <c r="F83" s="99"/>
      <c r="G83" s="99"/>
      <c r="H83" s="99"/>
      <c r="I83" s="99"/>
      <c r="J83" s="100"/>
      <c r="K83" s="28"/>
    </row>
    <row r="84" spans="2:11" ht="20.2" customHeight="1" x14ac:dyDescent="0.3">
      <c r="B84" s="27"/>
      <c r="C84" s="109" t="s">
        <v>745</v>
      </c>
      <c r="D84" s="109"/>
      <c r="E84" s="109"/>
      <c r="F84" s="109"/>
      <c r="G84" s="109"/>
      <c r="H84" s="109"/>
      <c r="I84" s="109"/>
      <c r="J84" s="109"/>
      <c r="K84" s="28"/>
    </row>
    <row r="85" spans="2:11" ht="20.2" customHeight="1" x14ac:dyDescent="0.3">
      <c r="B85" s="27"/>
      <c r="C85" s="46" t="s">
        <v>572</v>
      </c>
      <c r="D85" s="13">
        <f>IFERROR(VLOOKUP("营业成本*",Source!isa,2,0)/10000,0)</f>
        <v>4.7858000000000001</v>
      </c>
      <c r="E85" s="13">
        <f>IFERROR(VLOOKUP("营业成本*",Source!isa,3,0)/10000,0)</f>
        <v>4.2990000000000004</v>
      </c>
      <c r="F85" s="13">
        <f>IFERROR(VLOOKUP("营业成本*",Source!isa,4,0)/10000,0)</f>
        <v>4.1372</v>
      </c>
      <c r="G85" s="13">
        <f>IFERROR(VLOOKUP("营业成本*",Source!isa,5,0)/10000,0)</f>
        <v>4.0963000000000003</v>
      </c>
      <c r="H85" s="13">
        <f t="shared" si="24"/>
        <v>0.48679999999999968</v>
      </c>
      <c r="I85" s="6">
        <f t="shared" si="25"/>
        <v>0.11323563619446375</v>
      </c>
      <c r="J85" s="6">
        <f t="shared" si="26"/>
        <v>5.3224443967491597E-2</v>
      </c>
      <c r="K85" s="28"/>
    </row>
    <row r="86" spans="2:11" ht="20.2" customHeight="1" x14ac:dyDescent="0.3">
      <c r="B86" s="27"/>
      <c r="C86" s="46" t="s">
        <v>715</v>
      </c>
      <c r="D86" s="13">
        <f>IFERROR(VLOOKUP("营业税金*",Source!isa,2,0)/10000+VLOOKUP("所得税*",Source!isa,2,0)/10000,0)</f>
        <v>0.55259999999999998</v>
      </c>
      <c r="E86" s="13">
        <f>IFERROR(VLOOKUP("营业税金*",Source!isa,3,0)/10000+VLOOKUP("所得税*",Source!isa,3,0)/10000,0)</f>
        <v>0.54920000000000002</v>
      </c>
      <c r="F86" s="13">
        <f>IFERROR(VLOOKUP("营业税金*",Source!isa,4,0)/10000+VLOOKUP("所得税*",Source!isa,4,0)/10000,0)</f>
        <v>0.58210000000000006</v>
      </c>
      <c r="G86" s="13">
        <f>IFERROR(VLOOKUP("营业税金*",Source!isa,5,0)/10000+VLOOKUP("所得税*",Source!isa,5,0)/10000,0)</f>
        <v>0.59340000000000004</v>
      </c>
      <c r="H86" s="13">
        <f t="shared" si="24"/>
        <v>3.3999999999999586E-3</v>
      </c>
      <c r="I86" s="6">
        <f t="shared" si="25"/>
        <v>6.1908230152949439E-3</v>
      </c>
      <c r="J86" s="6">
        <f t="shared" si="26"/>
        <v>-2.3465076275829611E-2</v>
      </c>
      <c r="K86" s="28"/>
    </row>
    <row r="87" spans="2:11" ht="20.2" customHeight="1" x14ac:dyDescent="0.3">
      <c r="B87" s="27"/>
      <c r="C87" s="46" t="s">
        <v>573</v>
      </c>
      <c r="D87" s="13">
        <f>IFERROR(VLOOKUP("管理费用*",Source!isa,2,0)/10000,0)</f>
        <v>0.43269999999999997</v>
      </c>
      <c r="E87" s="13">
        <f>IFERROR(VLOOKUP("管理费用*",Source!isa,3,0)/10000,0)</f>
        <v>0.37059999999999998</v>
      </c>
      <c r="F87" s="13">
        <f>IFERROR(VLOOKUP("管理费用*",Source!isa,4,0)/10000,0)</f>
        <v>0.39329999999999998</v>
      </c>
      <c r="G87" s="13">
        <f>IFERROR(VLOOKUP("管理费用*",Source!isa,5,0)/10000,0)</f>
        <v>0.41589999999999999</v>
      </c>
      <c r="H87" s="13">
        <f t="shared" si="24"/>
        <v>6.2099999999999989E-2</v>
      </c>
      <c r="I87" s="6">
        <f t="shared" si="25"/>
        <v>0.16756610901241231</v>
      </c>
      <c r="J87" s="6">
        <f t="shared" si="26"/>
        <v>1.328743720662362E-2</v>
      </c>
      <c r="K87" s="28"/>
    </row>
    <row r="88" spans="2:11" ht="20.2" customHeight="1" x14ac:dyDescent="0.3">
      <c r="B88" s="27"/>
      <c r="C88" s="46" t="s">
        <v>574</v>
      </c>
      <c r="D88" s="13">
        <f>IFERROR(VLOOKUP("财务费用*",Source!isa,2,0)/10000,0)</f>
        <v>-7.1000000000000004E-3</v>
      </c>
      <c r="E88" s="13">
        <f>IFERROR(VLOOKUP("财务费用*",Source!isa,3,0)/10000,0)</f>
        <v>-3.44E-2</v>
      </c>
      <c r="F88" s="13">
        <f>IFERROR(VLOOKUP("财务费用*",Source!isa,4,0)/10000,0)</f>
        <v>-9.9400000000000002E-2</v>
      </c>
      <c r="G88" s="13">
        <f>IFERROR(VLOOKUP("财务费用*",Source!isa,5,0)/10000,0)</f>
        <v>-2.0799999999999999E-2</v>
      </c>
      <c r="H88" s="13">
        <f t="shared" si="24"/>
        <v>2.7299999999999998E-2</v>
      </c>
      <c r="I88" s="6">
        <f t="shared" si="25"/>
        <v>-0.79360465116279066</v>
      </c>
      <c r="J88" s="6">
        <f t="shared" si="26"/>
        <v>-0.30112687851617215</v>
      </c>
      <c r="K88" s="28"/>
    </row>
    <row r="89" spans="2:11" ht="20.2" customHeight="1" x14ac:dyDescent="0.3">
      <c r="B89" s="27"/>
      <c r="C89" s="46" t="s">
        <v>575</v>
      </c>
      <c r="D89" s="13">
        <f>IFERROR(VLOOKUP("销售费用*",Source!isa,2,0)/10000,0)</f>
        <v>2.5512000000000001</v>
      </c>
      <c r="E89" s="13">
        <f>IFERROR(VLOOKUP("销售费用*",Source!isa,3,0)/10000,0)</f>
        <v>2.1371000000000002</v>
      </c>
      <c r="F89" s="13">
        <f>IFERROR(VLOOKUP("销售费用*",Source!isa,4,0)/10000,0)</f>
        <v>1.9476</v>
      </c>
      <c r="G89" s="13">
        <f>IFERROR(VLOOKUP("销售费用*",Source!isa,5,0)/10000,0)</f>
        <v>1.9582999999999999</v>
      </c>
      <c r="H89" s="13">
        <f t="shared" si="24"/>
        <v>0.41409999999999991</v>
      </c>
      <c r="I89" s="6">
        <f t="shared" si="25"/>
        <v>0.19376725469093636</v>
      </c>
      <c r="J89" s="6">
        <f t="shared" si="26"/>
        <v>9.2165434079058972E-2</v>
      </c>
      <c r="K89" s="28"/>
    </row>
    <row r="90" spans="2:11" ht="20.2" customHeight="1" x14ac:dyDescent="0.3">
      <c r="B90" s="27"/>
      <c r="C90" s="79" t="s">
        <v>705</v>
      </c>
      <c r="D90" s="13">
        <f>IFERROR(VLOOKUP("资产减值损失*",Source!isa,2,0)/10000,0)</f>
        <v>-5.5300000000000002E-2</v>
      </c>
      <c r="E90" s="13">
        <f>IFERROR(VLOOKUP("资产减值损失*",Source!isa,3,0)/10000,0)</f>
        <v>-2.4400000000000002E-2</v>
      </c>
      <c r="F90" s="13">
        <f>IFERROR(VLOOKUP("资产减值损失*",Source!isa,4,0)/10000,0)</f>
        <v>1.4E-2</v>
      </c>
      <c r="G90" s="13">
        <f>IFERROR(VLOOKUP("资产减值损失*",Source!isa,5,0)/10000,0)</f>
        <v>-2.5000000000000001E-3</v>
      </c>
      <c r="H90" s="13">
        <f t="shared" ref="H90" si="39">D90-E90</f>
        <v>-3.09E-2</v>
      </c>
      <c r="I90" s="6">
        <f t="shared" ref="I90" si="40">IFERROR(D90/E90-1,0)</f>
        <v>1.2663934426229506</v>
      </c>
      <c r="J90" s="6">
        <f t="shared" ref="J90" si="41">IFERROR(POWER(D90/G90,1/3)-1,0)</f>
        <v>1.8071247126481289</v>
      </c>
      <c r="K90" s="28"/>
    </row>
    <row r="91" spans="2:11" ht="20.2" customHeight="1" x14ac:dyDescent="0.3">
      <c r="B91" s="27"/>
      <c r="C91" s="46" t="s">
        <v>254</v>
      </c>
      <c r="D91" s="13">
        <f>IFERROR(VLOOKUP("净利润*",Source!isa,2,0)/10000,0)</f>
        <v>1.5859000000000001</v>
      </c>
      <c r="E91" s="13">
        <f>IFERROR(VLOOKUP("净利润*",Source!isa,3,0)/10000,0)</f>
        <v>1.6936</v>
      </c>
      <c r="F91" s="13">
        <f>IFERROR(VLOOKUP("净利润*",Source!isa,4,0)/10000,0)</f>
        <v>1.8290999999999999</v>
      </c>
      <c r="G91" s="13">
        <f>IFERROR(VLOOKUP("净利润*",Source!isa,5,0)/10000,0)</f>
        <v>1.5755999999999999</v>
      </c>
      <c r="H91" s="13">
        <f t="shared" ref="H91" si="42">D91-E91</f>
        <v>-0.10769999999999991</v>
      </c>
      <c r="I91" s="6">
        <f t="shared" ref="I91:I94" si="43">IFERROR(D91/E91-1,0)</f>
        <v>-6.3592347661785453E-2</v>
      </c>
      <c r="J91" s="6">
        <f t="shared" ref="J91:J94" si="44">IFERROR(POWER(D91/G91,1/3)-1,0)</f>
        <v>2.1743329100998299E-3</v>
      </c>
      <c r="K91" s="28"/>
    </row>
    <row r="92" spans="2:11" ht="20.2" customHeight="1" x14ac:dyDescent="0.3">
      <c r="B92" s="27"/>
      <c r="C92" s="115" t="s">
        <v>746</v>
      </c>
      <c r="D92" s="116"/>
      <c r="E92" s="116"/>
      <c r="F92" s="116"/>
      <c r="G92" s="116"/>
      <c r="H92" s="116"/>
      <c r="I92" s="116"/>
      <c r="J92" s="117"/>
      <c r="K92" s="28"/>
    </row>
    <row r="93" spans="2:11" ht="20.2" customHeight="1" x14ac:dyDescent="0.3">
      <c r="B93" s="27"/>
      <c r="C93" s="83" t="s">
        <v>740</v>
      </c>
      <c r="D93" s="13">
        <f>IFERROR(VLOOKUP("支付给职工*",Source!cfa,2,0)/10000,0)</f>
        <v>1.8517999999999999</v>
      </c>
      <c r="E93" s="13">
        <f>IFERROR(VLOOKUP("支付给职工*",Source!cfa,3,0)/10000,0)</f>
        <v>1.6167</v>
      </c>
      <c r="F93" s="13">
        <f>IFERROR(VLOOKUP("支付给职工*",Source!cfa,4,0)/10000,0)</f>
        <v>1.4523999999999999</v>
      </c>
      <c r="G93" s="13">
        <f>IFERROR(VLOOKUP("支付给职工*",Source!cfa,5,0)/10000,0)</f>
        <v>1.2647999999999999</v>
      </c>
      <c r="H93" s="13">
        <f>D93-E93</f>
        <v>0.23509999999999986</v>
      </c>
      <c r="I93" s="6">
        <f t="shared" si="43"/>
        <v>0.14541968206841083</v>
      </c>
      <c r="J93" s="6">
        <f t="shared" si="44"/>
        <v>0.13550941879515843</v>
      </c>
      <c r="K93" s="28"/>
    </row>
    <row r="94" spans="2:11" ht="20.2" customHeight="1" x14ac:dyDescent="0.3">
      <c r="B94" s="27"/>
      <c r="C94" s="83" t="s">
        <v>741</v>
      </c>
      <c r="D94" s="13">
        <f>IFERROR(VLOOKUP("财务费用*",Source!isa,2,0)/10000,0)</f>
        <v>-7.1000000000000004E-3</v>
      </c>
      <c r="E94" s="13">
        <f>IFERROR(VLOOKUP("财务费用*",Source!isa,3,0)/10000,0)</f>
        <v>-3.44E-2</v>
      </c>
      <c r="F94" s="13">
        <f>IFERROR(VLOOKUP("财务费用*",Source!isa,4,0)/10000,0)</f>
        <v>-9.9400000000000002E-2</v>
      </c>
      <c r="G94" s="13">
        <f>IFERROR(VLOOKUP("财务费用*",Source!isa,5,0)/10000,0)</f>
        <v>-2.0799999999999999E-2</v>
      </c>
      <c r="H94" s="13">
        <f t="shared" ref="H94" si="45">D94-E94</f>
        <v>2.7299999999999998E-2</v>
      </c>
      <c r="I94" s="6">
        <f t="shared" si="43"/>
        <v>-0.79360465116279066</v>
      </c>
      <c r="J94" s="6">
        <f t="shared" si="44"/>
        <v>-0.30112687851617215</v>
      </c>
      <c r="K94" s="28"/>
    </row>
    <row r="95" spans="2:11" ht="20.2" customHeight="1" x14ac:dyDescent="0.3">
      <c r="B95" s="27"/>
      <c r="C95" s="83" t="s">
        <v>742</v>
      </c>
      <c r="D95" s="13">
        <f>IFERROR((VLOOKUP("固定资产折旧*",Source!cfa,2,0)+VLOOKUP("无形资产摊销*",Source!cfa,2,0)+VLOOKUP("长期待摊费用摊销*",Source!cfa,2,0))/10000,0)</f>
        <v>0.23810000000000001</v>
      </c>
      <c r="E95" s="13">
        <f>IFERROR((VLOOKUP("固定资产折旧*",Source!cfa,3,0)+VLOOKUP("无形资产摊销*",Source!cfa,3,0)+VLOOKUP("长期待摊费用摊销*",Source!cfa,3,0))/10000,0)</f>
        <v>0.24490000000000001</v>
      </c>
      <c r="F95" s="13">
        <f>IFERROR((VLOOKUP("固定资产折旧*",Source!cfa,4,0)+VLOOKUP("无形资产摊销*",Source!cfa,4,0)+VLOOKUP("长期待摊费用摊销*",Source!cfa,4,0))/10000,0)</f>
        <v>0.2137</v>
      </c>
      <c r="G95" s="13">
        <f>IFERROR((VLOOKUP("固定资产折旧*",Source!cfa,5,0)+VLOOKUP("无形资产摊销*",Source!cfa,5,0)+VLOOKUP("长期待摊费用摊销*",Source!cfa,5,0))/10000,0)</f>
        <v>0.21249999999999999</v>
      </c>
      <c r="H95" s="13">
        <f t="shared" ref="H95" si="46">D95-E95</f>
        <v>-6.8000000000000005E-3</v>
      </c>
      <c r="I95" s="6">
        <f t="shared" ref="I95" si="47">IFERROR(D95/E95-1,0)</f>
        <v>-2.7766435279706014E-2</v>
      </c>
      <c r="J95" s="6">
        <f t="shared" ref="J95" si="48">IFERROR(POWER(D95/G95,1/3)-1,0)</f>
        <v>3.8644248018161687E-2</v>
      </c>
      <c r="K95" s="28"/>
    </row>
    <row r="96" spans="2:11" ht="20.2" customHeight="1" x14ac:dyDescent="0.3">
      <c r="B96" s="27"/>
      <c r="C96" s="83" t="s">
        <v>743</v>
      </c>
      <c r="D96" s="13">
        <f>IFERROR(VLOOKUP("营业税金*",Source!isa,2,0)/10000+VLOOKUP("所得税*",Source!isa,2,0)/10000,0)</f>
        <v>0.55259999999999998</v>
      </c>
      <c r="E96" s="13">
        <f>IFERROR(VLOOKUP("营业税金*",Source!isa,3,0)/10000+VLOOKUP("所得税*",Source!isa,3,0)/10000,0)</f>
        <v>0.54920000000000002</v>
      </c>
      <c r="F96" s="13">
        <f>IFERROR(VLOOKUP("营业税金*",Source!isa,4,0)/10000+VLOOKUP("所得税*",Source!isa,4,0)/10000,0)</f>
        <v>0.58210000000000006</v>
      </c>
      <c r="G96" s="13">
        <f>IFERROR(VLOOKUP("营业税金*",Source!isa,5,0)/10000+VLOOKUP("所得税*",Source!isa,5,0)/10000,0)</f>
        <v>0.59340000000000004</v>
      </c>
      <c r="H96" s="13">
        <f t="shared" ref="H96" si="49">D96-E96</f>
        <v>3.3999999999999586E-3</v>
      </c>
      <c r="I96" s="6">
        <f t="shared" ref="I96" si="50">IFERROR(D96/E96-1,0)</f>
        <v>6.1908230152949439E-3</v>
      </c>
      <c r="J96" s="6">
        <f t="shared" ref="J96" si="51">IFERROR(POWER(D96/G96,1/3)-1,0)</f>
        <v>-2.3465076275829611E-2</v>
      </c>
      <c r="K96" s="28"/>
    </row>
    <row r="97" spans="2:11" ht="20.2" customHeight="1" x14ac:dyDescent="0.3">
      <c r="B97" s="27"/>
      <c r="C97" s="83" t="s">
        <v>744</v>
      </c>
      <c r="D97" s="13">
        <f>IFERROR(VLOOKUP("净利润*",Source!isa,2,0)/10000,0)</f>
        <v>1.5859000000000001</v>
      </c>
      <c r="E97" s="13">
        <f>IFERROR(VLOOKUP("净利润*",Source!isa,3,0)/10000,0)</f>
        <v>1.6936</v>
      </c>
      <c r="F97" s="13">
        <f>IFERROR(VLOOKUP("净利润*",Source!isa,4,0)/10000,0)</f>
        <v>1.8290999999999999</v>
      </c>
      <c r="G97" s="13">
        <f>IFERROR(VLOOKUP("净利润*",Source!isa,5,0)/10000,0)</f>
        <v>1.5755999999999999</v>
      </c>
      <c r="H97" s="13">
        <f t="shared" ref="H97" si="52">D97-E97</f>
        <v>-0.10769999999999991</v>
      </c>
      <c r="I97" s="6">
        <f t="shared" ref="I97" si="53">IFERROR(D97/E97-1,0)</f>
        <v>-6.3592347661785453E-2</v>
      </c>
      <c r="J97" s="6">
        <f t="shared" ref="J97" si="54">IFERROR(POWER(D97/G97,1/3)-1,0)</f>
        <v>2.1743329100998299E-3</v>
      </c>
      <c r="K97" s="28"/>
    </row>
    <row r="98" spans="2:11" ht="20.2" customHeight="1" x14ac:dyDescent="0.3">
      <c r="B98" s="27"/>
      <c r="C98" s="53" t="s">
        <v>747</v>
      </c>
      <c r="D98" s="71">
        <f>IFERROR((VLOOKUP("营业收入*",Source!isa,2,0)-VLOOKUP("支付给职工*",Source!cfa,2,0)-VLOOKUP("财务费用*",Source!isa,2,0)-VLOOKUP("固定资产折旧*",Source!cfa,2,0)-VLOOKUP("无形资产摊销*",Source!cfa,2,0)-VLOOKUP("长期待摊费用摊销*",Source!cfa,2,0)-VLOOKUP("营业税金*",Source!isa,2,0)-VLOOKUP("所得税*",Source!isa,2,0)-VLOOKUP("净利润*",Source!isa,2,0))/10000,0)</f>
        <v>5.3916000000000004</v>
      </c>
      <c r="E98" s="71">
        <f>IFERROR((VLOOKUP("营业收入*",Source!isa,3,0)-VLOOKUP("支付给职工*",Source!cfa,3,0)-VLOOKUP("财务费用*",Source!isa,3,0)-VLOOKUP("固定资产折旧*",Source!cfa,3,0)-VLOOKUP("无形资产摊销*",Source!cfa,3,0)-VLOOKUP("长期待摊费用摊销*",Source!cfa,3,0)-VLOOKUP("营业税金*",Source!isa,3,0)-VLOOKUP("所得税*",Source!isa,3,0)-VLOOKUP("净利润*",Source!isa,3,0))/10000,0)</f>
        <v>4.7415000000000003</v>
      </c>
      <c r="F98" s="71">
        <f>IFERROR((VLOOKUP("营业收入*",Source!isa,4,0)-VLOOKUP("支付给职工*",Source!cfa,4,0)-VLOOKUP("财务费用*",Source!isa,4,0)-VLOOKUP("固定资产折旧*",Source!cfa,4,0)-VLOOKUP("无形资产摊销*",Source!cfa,4,0)-VLOOKUP("长期待摊费用摊销*",Source!cfa,4,0)-VLOOKUP("营业税金*",Source!isa,4,0)-VLOOKUP("所得税*",Source!isa,4,0)-VLOOKUP("净利润*",Source!isa,4,0))/10000,0)</f>
        <v>4.6482999999999999</v>
      </c>
      <c r="G98" s="71">
        <f>IFERROR((VLOOKUP("营业收入*",Source!isa,5,0)-VLOOKUP("支付给职工*",Source!cfa,5,0)-VLOOKUP("财务费用*",Source!isa,5,0)-VLOOKUP("固定资产折旧*",Source!cfa,5,0)-VLOOKUP("无形资产摊销*",Source!cfa,5,0)-VLOOKUP("长期待摊费用摊销*",Source!cfa,5,0)-VLOOKUP("营业税金*",Source!isa,5,0)-VLOOKUP("所得税*",Source!isa,5,0)-VLOOKUP("净利润*",Source!isa,5,0))/10000,0)</f>
        <v>4.9143999999999997</v>
      </c>
      <c r="H98" s="71">
        <f t="shared" ref="H98" si="55">D98-E98</f>
        <v>0.65010000000000012</v>
      </c>
      <c r="I98" s="81">
        <f t="shared" ref="I98" si="56">IFERROR(D98/E98-1,0)</f>
        <v>0.13710850996520096</v>
      </c>
      <c r="J98" s="81">
        <f t="shared" ref="J98" si="57">IFERROR(POWER(D98/G98,1/3)-1,0)</f>
        <v>3.1372911704022455E-2</v>
      </c>
      <c r="K98" s="28"/>
    </row>
    <row r="99" spans="2:11" ht="60" customHeight="1" x14ac:dyDescent="0.3">
      <c r="B99" s="27"/>
      <c r="C99" s="137" t="s">
        <v>751</v>
      </c>
      <c r="D99" s="103"/>
      <c r="E99" s="103"/>
      <c r="F99" s="103"/>
      <c r="G99" s="103"/>
      <c r="H99" s="103"/>
      <c r="I99" s="103"/>
      <c r="J99" s="104"/>
      <c r="K99" s="28"/>
    </row>
    <row r="100" spans="2:11" ht="20.2" customHeight="1" x14ac:dyDescent="0.3">
      <c r="B100" s="27"/>
      <c r="C100" s="115" t="s">
        <v>749</v>
      </c>
      <c r="D100" s="116"/>
      <c r="E100" s="116"/>
      <c r="F100" s="116"/>
      <c r="G100" s="116"/>
      <c r="H100" s="116"/>
      <c r="I100" s="116"/>
      <c r="J100" s="117"/>
      <c r="K100" s="28"/>
    </row>
    <row r="101" spans="2:11" ht="20.2" customHeight="1" x14ac:dyDescent="0.3">
      <c r="B101" s="27"/>
      <c r="C101" s="79" t="s">
        <v>711</v>
      </c>
      <c r="D101" s="2">
        <v>42916</v>
      </c>
      <c r="E101" s="2">
        <v>42551</v>
      </c>
      <c r="F101" s="2">
        <v>42185</v>
      </c>
      <c r="G101" s="2">
        <v>41820</v>
      </c>
      <c r="H101" s="38" t="s">
        <v>712</v>
      </c>
      <c r="I101" s="57" t="s">
        <v>713</v>
      </c>
      <c r="J101" s="57" t="s">
        <v>714</v>
      </c>
      <c r="K101" s="28"/>
    </row>
    <row r="102" spans="2:11" ht="20.2" customHeight="1" x14ac:dyDescent="0.3">
      <c r="B102" s="27"/>
      <c r="C102" s="56" t="s">
        <v>708</v>
      </c>
      <c r="D102" s="13">
        <f>IFERROR((VLOOKUP("固定资产折旧*",Source!cfa,2,0)+VLOOKUP("无形资产摊销*",Source!cfa,2,0)+VLOOKUP("长期待摊费用摊销*",Source!cfa,2,0)+VLOOKUP("支付给职工以及为职工支付的现金*",Source!cfa,2,0)+VLOOKUP("财务费用*",Source!isa,2,0))/10000,0)</f>
        <v>2.0828000000000002</v>
      </c>
      <c r="E102" s="13">
        <f>IFERROR((VLOOKUP("固定资产折旧*",Source!cfa,3,0)+VLOOKUP("无形资产摊销*",Source!cfa,3,0)+VLOOKUP("长期待摊费用摊销*",Source!cfa,3,0)+VLOOKUP("支付给职工以及为职工支付的现金*",Source!cfa,3,0)+VLOOKUP("财务费用*",Source!isa,3,0))/10000,0)</f>
        <v>1.8271999999999999</v>
      </c>
      <c r="F102" s="13">
        <f>IFERROR((VLOOKUP("固定资产折旧*",Source!cfa,4,0)+VLOOKUP("无形资产摊销*",Source!cfa,4,0)+VLOOKUP("长期待摊费用摊销*",Source!cfa,4,0)+VLOOKUP("支付给职工以及为职工支付的现金*",Source!cfa,4,0)+VLOOKUP("财务费用*",Source!isa,4,0))/10000,0)</f>
        <v>1.5667</v>
      </c>
      <c r="G102" s="13">
        <f>IFERROR((VLOOKUP("固定资产折旧*",Source!cfa,5,0)+VLOOKUP("无形资产摊销*",Source!cfa,5,0)+VLOOKUP("长期待摊费用摊销*",Source!cfa,5,0)+VLOOKUP("支付给职工以及为职工支付的现金*",Source!cfa,5,0)+VLOOKUP("财务费用*",Source!isa,5,0))/10000,0)</f>
        <v>1.4564999999999999</v>
      </c>
      <c r="H102" s="13">
        <f>D102-E102</f>
        <v>0.25560000000000027</v>
      </c>
      <c r="I102" s="6">
        <f t="shared" ref="I102:I104" si="58">IFERROR(D102/E102-1,0)</f>
        <v>0.1398861646234677</v>
      </c>
      <c r="J102" s="13">
        <f>IFERROR((VLOOKUP("固定资产折旧*",Source!cfa,5,0)+VLOOKUP("无形资产摊销*",Source!cfa,5,0)+VLOOKUP("长期待摊费用摊销*",Source!cfa,5,0)+VLOOKUP("支付给职工以及为职工支付的现金*",Source!cfa,5,0)+VLOOKUP("财务费用*",Source!isa,5,0))/VLOOKUP("营业收入*",Source!isa,2,0),0)</f>
        <v>0.15151515151515152</v>
      </c>
      <c r="K102" s="28"/>
    </row>
    <row r="103" spans="2:11" ht="20.2" customHeight="1" x14ac:dyDescent="0.3">
      <c r="B103" s="27"/>
      <c r="C103" s="56" t="s">
        <v>709</v>
      </c>
      <c r="D103" s="13">
        <f>IFERROR((VLOOKUP("营业总成本*",Source!isa,2,0)-VLOOKUP("固定资产折旧*",Source!cfa,2,0)-VLOOKUP("无形资产摊销*",Source!cfa,2,0)-VLOOKUP("长期待摊费用摊销*",Source!cfa,2,0)-VLOOKUP("支付给职工以及为职工支付的现金*",Source!cfa,2,0))/10000,0)</f>
        <v>5.7308000000000003</v>
      </c>
      <c r="E103" s="13">
        <f>IFERROR((VLOOKUP("营业总成本*",Source!isa,3,0)-VLOOKUP("固定资产折旧*",Source!cfa,3,0)-VLOOKUP("无形资产摊销*",Source!cfa,3,0)-VLOOKUP("长期待摊费用摊销*",Source!cfa,3,0)-VLOOKUP("支付给职工以及为职工支付的现金*",Source!cfa,3,0)-VLOOKUP("财务费用*",Source!isa,3,0))/10000,0)</f>
        <v>5.0107999999999997</v>
      </c>
      <c r="F103" s="13">
        <f>IFERROR((VLOOKUP("营业总成本*",Source!isa,4,0)-VLOOKUP("固定资产折旧*",Source!cfa,4,0)-VLOOKUP("无形资产摊销*",Source!cfa,4,0)-VLOOKUP("长期待摊费用摊销*",Source!cfa,4,0)-VLOOKUP("支付给职工以及为职工支付的现金*",Source!cfa,4,0)-VLOOKUP("财务费用*",Source!isa,4,0))/10000,0)</f>
        <v>4.8981000000000003</v>
      </c>
      <c r="G103" s="13">
        <f>IFERROR((VLOOKUP("营业总成本*",Source!isa,5,0)-VLOOKUP("固定资产折旧*",Source!cfa,5,0)-VLOOKUP("无形资产摊销*",Source!cfa,5,0)-VLOOKUP("长期待摊费用摊销*",Source!cfa,5,0)-VLOOKUP("支付给职工以及为职工支付的现金*",Source!cfa,5,0)-VLOOKUP("财务费用*",Source!isa,5,0))/10000,0)</f>
        <v>5.0900999999999996</v>
      </c>
      <c r="H103" s="13">
        <f>D103-E103</f>
        <v>0.72000000000000064</v>
      </c>
      <c r="I103" s="6">
        <f t="shared" si="58"/>
        <v>0.14368963039833971</v>
      </c>
      <c r="J103" s="13">
        <f>IFERROR((VLOOKUP("营业总成本*",Source!isa,2,0)-VLOOKUP("固定资产折旧*",Source!cfa,2,0)-VLOOKUP("无形资产摊销*",Source!cfa,2,0)-VLOOKUP("长期待摊费用摊销*",Source!cfa,2,0)-VLOOKUP("支付给职工以及为职工支付的现金*",Source!cfa,2,0)-VLOOKUP("财务费用*",Source!isa,2,0))/VLOOKUP("营业收入*",Source!isa,2,0),0)</f>
        <v>0.59689583788450939</v>
      </c>
      <c r="K103" s="28"/>
    </row>
    <row r="104" spans="2:11" ht="20.2" customHeight="1" x14ac:dyDescent="0.3">
      <c r="B104" s="27"/>
      <c r="C104" s="56" t="s">
        <v>716</v>
      </c>
      <c r="D104" s="13">
        <f>VLOOKUP("所得税*",Source!isa,2,0)/10000</f>
        <v>0.43909999999999999</v>
      </c>
      <c r="E104" s="13">
        <f>VLOOKUP("所得税*",Source!isa,3,0)/10000</f>
        <v>0.45900000000000002</v>
      </c>
      <c r="F104" s="13">
        <f>VLOOKUP("所得税*",Source!isa,4,0)/10000</f>
        <v>0.50990000000000002</v>
      </c>
      <c r="G104" s="13">
        <f>VLOOKUP("所得税*",Source!isa,5,0)/10000</f>
        <v>0.49399999999999999</v>
      </c>
      <c r="H104" s="13">
        <f>D104-E104</f>
        <v>-1.9900000000000029E-2</v>
      </c>
      <c r="I104" s="6">
        <f t="shared" si="58"/>
        <v>-4.3355119825708166E-2</v>
      </c>
      <c r="J104" s="13">
        <f>IFERROR(VLOOKUP("所得税*",Source!isa,2,0)/VLOOKUP("营业收入*",Source!isa,2,0),0)</f>
        <v>4.5678203247719214E-2</v>
      </c>
      <c r="K104" s="28"/>
    </row>
    <row r="105" spans="2:11" ht="61.9" customHeight="1" x14ac:dyDescent="0.3">
      <c r="B105" s="27"/>
      <c r="C105" s="138" t="s">
        <v>737</v>
      </c>
      <c r="D105" s="139"/>
      <c r="E105" s="139"/>
      <c r="F105" s="139"/>
      <c r="G105" s="139"/>
      <c r="H105" s="139"/>
      <c r="I105" s="139"/>
      <c r="J105" s="140"/>
      <c r="K105" s="28"/>
    </row>
    <row r="106" spans="2:11" ht="20.2" customHeight="1" x14ac:dyDescent="0.3">
      <c r="B106" s="27"/>
      <c r="C106" s="44"/>
      <c r="D106" s="44"/>
      <c r="E106" s="44"/>
      <c r="F106" s="44"/>
      <c r="G106" s="44"/>
      <c r="H106" s="44"/>
      <c r="I106" s="44"/>
      <c r="J106" s="44"/>
      <c r="K106" s="28"/>
    </row>
    <row r="107" spans="2:11" ht="20.2" customHeight="1" x14ac:dyDescent="0.3">
      <c r="B107" s="27"/>
      <c r="C107" s="125" t="s">
        <v>582</v>
      </c>
      <c r="D107" s="125"/>
      <c r="E107" s="125"/>
      <c r="F107" s="125"/>
      <c r="G107" s="125"/>
      <c r="H107" s="125"/>
      <c r="I107" s="125"/>
      <c r="J107" s="125"/>
      <c r="K107" s="28"/>
    </row>
    <row r="108" spans="2:11" ht="20.2" customHeight="1" x14ac:dyDescent="0.3">
      <c r="B108" s="27"/>
      <c r="C108" s="46" t="s">
        <v>595</v>
      </c>
      <c r="D108" s="7">
        <f>Source!$C$3</f>
        <v>42916</v>
      </c>
      <c r="E108" s="7">
        <f>Source!$D$3</f>
        <v>42551</v>
      </c>
      <c r="F108" s="7">
        <f>Source!$E$3</f>
        <v>42185</v>
      </c>
      <c r="G108" s="7">
        <f>Source!$F$3</f>
        <v>41820</v>
      </c>
      <c r="H108" s="8" t="s">
        <v>596</v>
      </c>
      <c r="I108" s="8" t="s">
        <v>586</v>
      </c>
      <c r="J108" s="8" t="s">
        <v>251</v>
      </c>
      <c r="K108" s="28"/>
    </row>
    <row r="109" spans="2:11" ht="20.2" customHeight="1" x14ac:dyDescent="0.3">
      <c r="B109" s="27"/>
      <c r="C109" s="46" t="s">
        <v>583</v>
      </c>
      <c r="D109" s="13">
        <f>IFERROR(VLOOKUP("经营活动现金流入*",Source!cfa,2,0)/10000,0)</f>
        <v>13.084099999999999</v>
      </c>
      <c r="E109" s="13">
        <f>IFERROR(VLOOKUP("经营活动现金流入*",Source!cfa,3,0)/10000,0)</f>
        <v>11.605700000000001</v>
      </c>
      <c r="F109" s="13">
        <f>IFERROR(VLOOKUP("经营活动现金流入*",Source!cfa,4,0)/10000,0)</f>
        <v>10.0124</v>
      </c>
      <c r="G109" s="13">
        <f>IFERROR(VLOOKUP("经营活动现金流入*",Source!cfa,5,0)/10000,0)</f>
        <v>10.4887</v>
      </c>
      <c r="H109" s="13">
        <f t="shared" ref="H109" si="59">D109-E109</f>
        <v>1.4783999999999988</v>
      </c>
      <c r="I109" s="6">
        <f t="shared" ref="I109" si="60">IFERROR(D109/E109-1,0)</f>
        <v>0.12738568117390581</v>
      </c>
      <c r="J109" s="6">
        <f t="shared" ref="J109" si="61">IFERROR(POWER(D109/G109,1/3)-1,0)</f>
        <v>7.6483548307860527E-2</v>
      </c>
      <c r="K109" s="28"/>
    </row>
    <row r="110" spans="2:11" ht="20.2" customHeight="1" x14ac:dyDescent="0.3">
      <c r="B110" s="27"/>
      <c r="C110" s="68" t="s">
        <v>678</v>
      </c>
      <c r="D110" s="13">
        <f>IFERROR(VLOOKUP("销售商品*",Source!cfa,2,0)/10000,0)</f>
        <v>12.7829</v>
      </c>
      <c r="E110" s="13">
        <f>IFERROR(VLOOKUP("销售商品*",Source!cfa,3,0)/10000,0)</f>
        <v>11.258599999999999</v>
      </c>
      <c r="F110" s="13">
        <f>IFERROR(VLOOKUP("销售商品*",Source!cfa,4,0)/10000,0)</f>
        <v>9.7393999999999998</v>
      </c>
      <c r="G110" s="13">
        <f>IFERROR(VLOOKUP("销售商品*",Source!cfa,5,0)/10000,0)</f>
        <v>9.9998000000000005</v>
      </c>
      <c r="H110" s="13">
        <f t="shared" ref="H110" si="62">D110-E110</f>
        <v>1.5243000000000002</v>
      </c>
      <c r="I110" s="6">
        <f t="shared" ref="I110" si="63">IFERROR(D110/E110-1,0)</f>
        <v>0.13538983532588422</v>
      </c>
      <c r="J110" s="6">
        <f t="shared" ref="J110" si="64">IFERROR(POWER(D110/G110,1/3)-1,0)</f>
        <v>8.5290560847599783E-2</v>
      </c>
      <c r="K110" s="28"/>
    </row>
    <row r="111" spans="2:11" ht="20.2" customHeight="1" x14ac:dyDescent="0.3">
      <c r="B111" s="27"/>
      <c r="C111" s="46" t="s">
        <v>584</v>
      </c>
      <c r="D111" s="13">
        <f>IFERROR(VLOOKUP("经营活动现金流出*",Source!cfa,2,0)/10000,0)</f>
        <v>14.793799999999999</v>
      </c>
      <c r="E111" s="13">
        <f>IFERROR(VLOOKUP("经营活动现金流出*",Source!cfa,3,0)/10000,0)</f>
        <v>10.8285</v>
      </c>
      <c r="F111" s="13">
        <f>IFERROR(VLOOKUP("经营活动现金流出*",Source!cfa,4,0)/10000,0)</f>
        <v>10.473000000000001</v>
      </c>
      <c r="G111" s="13">
        <f>IFERROR(VLOOKUP("经营活动现金流出*",Source!cfa,5,0)/10000,0)</f>
        <v>9.8057999999999996</v>
      </c>
      <c r="H111" s="13">
        <f t="shared" ref="H111:H120" si="65">D111-E111</f>
        <v>3.9652999999999992</v>
      </c>
      <c r="I111" s="6">
        <f t="shared" ref="I111:I120" si="66">IFERROR(D111/E111-1,0)</f>
        <v>0.36619106986193839</v>
      </c>
      <c r="J111" s="6">
        <f t="shared" ref="J111:J120" si="67">IFERROR(POWER(D111/G111,1/3)-1,0)</f>
        <v>0.14691765305632742</v>
      </c>
      <c r="K111" s="28"/>
    </row>
    <row r="112" spans="2:11" ht="20.2" customHeight="1" x14ac:dyDescent="0.3">
      <c r="B112" s="27"/>
      <c r="C112" s="68" t="s">
        <v>736</v>
      </c>
      <c r="D112" s="13">
        <f>IFERROR(VLOOKUP("购买商品*",Source!cfa,2,0)/10000,0)</f>
        <v>7.8376999999999999</v>
      </c>
      <c r="E112" s="13">
        <f>IFERROR(VLOOKUP("购买商品*",Source!cfa,3,0)/10000,0)</f>
        <v>4.9406999999999996</v>
      </c>
      <c r="F112" s="13">
        <f>IFERROR(VLOOKUP("购买商品*",Source!cfa,4,0)/10000,0)</f>
        <v>5.5998999999999999</v>
      </c>
      <c r="G112" s="13">
        <f>IFERROR(VLOOKUP("购买商品*",Source!cfa,5,0)/10000,0)</f>
        <v>5.4363000000000001</v>
      </c>
      <c r="H112" s="13">
        <f t="shared" ref="H112:H113" si="68">D112-E112</f>
        <v>2.8970000000000002</v>
      </c>
      <c r="I112" s="6">
        <f t="shared" ref="I112:I113" si="69">IFERROR(D112/E112-1,0)</f>
        <v>0.586354160341652</v>
      </c>
      <c r="J112" s="6">
        <f t="shared" ref="J112:J113" si="70">IFERROR(POWER(D112/G112,1/3)-1,0)</f>
        <v>0.12969638847478548</v>
      </c>
      <c r="K112" s="28"/>
    </row>
    <row r="113" spans="2:11" ht="20.2" customHeight="1" x14ac:dyDescent="0.3">
      <c r="B113" s="27"/>
      <c r="C113" s="68" t="s">
        <v>738</v>
      </c>
      <c r="D113" s="13">
        <f>IFERROR(VLOOKUP("支付给职工以及为职工支付*",Source!cfa,2,0)/10000,0)</f>
        <v>1.8517999999999999</v>
      </c>
      <c r="E113" s="13">
        <f>IFERROR(VLOOKUP("支付给职工以及为职工支付*",Source!cfa,3,0)/10000,0)</f>
        <v>1.6167</v>
      </c>
      <c r="F113" s="13">
        <f>IFERROR(VLOOKUP("支付给职工以及为职工支付*",Source!cfa,4,0)/10000,0)</f>
        <v>1.4523999999999999</v>
      </c>
      <c r="G113" s="13">
        <f>IFERROR(VLOOKUP("支付给职工以及为职工支付*",Source!cfa,5,0)/10000,0)</f>
        <v>1.2647999999999999</v>
      </c>
      <c r="H113" s="13">
        <f t="shared" si="68"/>
        <v>0.23509999999999986</v>
      </c>
      <c r="I113" s="6">
        <f t="shared" si="69"/>
        <v>0.14541968206841083</v>
      </c>
      <c r="J113" s="6">
        <f t="shared" si="70"/>
        <v>0.13550941879515843</v>
      </c>
      <c r="K113" s="28"/>
    </row>
    <row r="114" spans="2:11" ht="20.2" customHeight="1" x14ac:dyDescent="0.3">
      <c r="B114" s="27"/>
      <c r="C114" s="46" t="s">
        <v>585</v>
      </c>
      <c r="D114" s="13">
        <f>IFERROR(VLOOKUP("经营活动产生的现金流量净额*",Source!cfa,2,0)/10000,0)</f>
        <v>-1.7096</v>
      </c>
      <c r="E114" s="13">
        <f>IFERROR(VLOOKUP("经营活动产生的现金流量净额*",Source!cfa,3,0)/10000,0)</f>
        <v>0.7772</v>
      </c>
      <c r="F114" s="13">
        <f>IFERROR(VLOOKUP("经营活动产生的现金流量净额*",Source!cfa,4,0)/10000,0)</f>
        <v>-0.46060000000000001</v>
      </c>
      <c r="G114" s="13">
        <f>IFERROR(VLOOKUP("经营活动产生的现金流量净额*",Source!cfa,5,0)/10000,0)</f>
        <v>0.68289999999999995</v>
      </c>
      <c r="H114" s="13">
        <f t="shared" si="65"/>
        <v>-2.4868000000000001</v>
      </c>
      <c r="I114" s="6">
        <f t="shared" si="66"/>
        <v>-3.1996911991765313</v>
      </c>
      <c r="J114" s="6">
        <f t="shared" si="67"/>
        <v>-2.3578312475836927</v>
      </c>
      <c r="K114" s="28"/>
    </row>
    <row r="115" spans="2:11" ht="20.2" customHeight="1" x14ac:dyDescent="0.3">
      <c r="B115" s="27"/>
      <c r="C115" s="46" t="s">
        <v>587</v>
      </c>
      <c r="D115" s="13">
        <f>IFERROR(VLOOKUP("投资活动现金流入*",Source!cfa,2,0)/10000,0)</f>
        <v>2.5331999999999999</v>
      </c>
      <c r="E115" s="13">
        <f>IFERROR(VLOOKUP("投资活动现金流入*",Source!cfa,3,0)/10000,0)</f>
        <v>2.0798999999999999</v>
      </c>
      <c r="F115" s="13">
        <f>IFERROR(VLOOKUP("投资活动现金流入*",Source!cfa,4,0)/10000,0)</f>
        <v>2.9965000000000002</v>
      </c>
      <c r="G115" s="13">
        <f>IFERROR(VLOOKUP("投资活动现金流入*",Source!cfa,5,0)/10000,0)</f>
        <v>1.488</v>
      </c>
      <c r="H115" s="13">
        <f t="shared" si="65"/>
        <v>0.45330000000000004</v>
      </c>
      <c r="I115" s="6">
        <f t="shared" si="66"/>
        <v>0.2179431703447281</v>
      </c>
      <c r="J115" s="6">
        <f t="shared" si="67"/>
        <v>0.19404909205572429</v>
      </c>
      <c r="K115" s="28"/>
    </row>
    <row r="116" spans="2:11" ht="20.2" customHeight="1" x14ac:dyDescent="0.3">
      <c r="B116" s="27"/>
      <c r="C116" s="46" t="s">
        <v>588</v>
      </c>
      <c r="D116" s="13">
        <f>IFERROR(VLOOKUP("投资活动现金流出*",Source!cfa,2,0)/10000,0)</f>
        <v>4.4177999999999997</v>
      </c>
      <c r="E116" s="13">
        <f>IFERROR(VLOOKUP("投资活动现金流出*",Source!cfa,3,0)/10000,0)</f>
        <v>6.1371000000000002</v>
      </c>
      <c r="F116" s="13">
        <f>IFERROR(VLOOKUP("投资活动现金流出*",Source!cfa,4,0)/10000,0)</f>
        <v>6.3601000000000001</v>
      </c>
      <c r="G116" s="13">
        <f>IFERROR(VLOOKUP("投资活动现金流出*",Source!cfa,5,0)/10000,0)</f>
        <v>2.8218000000000001</v>
      </c>
      <c r="H116" s="13">
        <f t="shared" si="65"/>
        <v>-1.7193000000000005</v>
      </c>
      <c r="I116" s="6">
        <f t="shared" si="66"/>
        <v>-0.28014860438969558</v>
      </c>
      <c r="J116" s="6">
        <f t="shared" si="67"/>
        <v>0.16116322766917079</v>
      </c>
      <c r="K116" s="28"/>
    </row>
    <row r="117" spans="2:11" ht="20.2" customHeight="1" x14ac:dyDescent="0.3">
      <c r="B117" s="27"/>
      <c r="C117" s="46" t="s">
        <v>589</v>
      </c>
      <c r="D117" s="13">
        <f>IFERROR(VLOOKUP("投资活动产生的现金流量净额*",Source!cfa,2,0)/10000,0)</f>
        <v>-1.8845000000000001</v>
      </c>
      <c r="E117" s="13">
        <f>IFERROR(VLOOKUP("投资活动产生的现金流量净额*",Source!cfa,3,0)/10000,0)</f>
        <v>-4.0572999999999997</v>
      </c>
      <c r="F117" s="13">
        <f>IFERROR(VLOOKUP("投资活动产生的现金流量净额*",Source!cfa,4,0)/10000,0)</f>
        <v>-3.3635999999999999</v>
      </c>
      <c r="G117" s="13">
        <f>IFERROR(VLOOKUP("投资活动产生的现金流量净额*",Source!cfa,5,0)/10000,0)</f>
        <v>-1.3338000000000001</v>
      </c>
      <c r="H117" s="13">
        <f t="shared" si="65"/>
        <v>2.1727999999999996</v>
      </c>
      <c r="I117" s="6">
        <f t="shared" si="66"/>
        <v>-0.5355285534715204</v>
      </c>
      <c r="J117" s="6">
        <f t="shared" si="67"/>
        <v>0.12210925117024063</v>
      </c>
      <c r="K117" s="28"/>
    </row>
    <row r="118" spans="2:11" ht="20.2" customHeight="1" x14ac:dyDescent="0.3">
      <c r="B118" s="27"/>
      <c r="C118" s="46" t="s">
        <v>590</v>
      </c>
      <c r="D118" s="13">
        <f>IFERROR(VLOOKUP("筹资活动现金流入*",Source!cfa,2,0)/10000,0)</f>
        <v>1.3945000000000001</v>
      </c>
      <c r="E118" s="13">
        <f>IFERROR(VLOOKUP("筹资活动现金流入*",Source!cfa,3,0)/10000,0)</f>
        <v>0.83360000000000001</v>
      </c>
      <c r="F118" s="13">
        <f>IFERROR(VLOOKUP("筹资活动现金流入*",Source!cfa,4,0)/10000,0)</f>
        <v>0.1123</v>
      </c>
      <c r="G118" s="13">
        <f>IFERROR(VLOOKUP("筹资活动现金流入*",Source!cfa,5,0)/10000,0)</f>
        <v>0.50749999999999995</v>
      </c>
      <c r="H118" s="13">
        <f t="shared" si="65"/>
        <v>0.56090000000000007</v>
      </c>
      <c r="I118" s="6">
        <f t="shared" si="66"/>
        <v>0.67286468330134364</v>
      </c>
      <c r="J118" s="6">
        <f t="shared" si="67"/>
        <v>0.40064311460215873</v>
      </c>
      <c r="K118" s="28"/>
    </row>
    <row r="119" spans="2:11" ht="20.2" customHeight="1" x14ac:dyDescent="0.3">
      <c r="B119" s="27"/>
      <c r="C119" s="46" t="s">
        <v>591</v>
      </c>
      <c r="D119" s="13">
        <f>IFERROR(VLOOKUP("筹资活动现金流出小计*",Source!cfa,2,0)/10000,0)</f>
        <v>0.61329999999999996</v>
      </c>
      <c r="E119" s="13">
        <f>IFERROR(VLOOKUP("筹资活动现金流出小计*",Source!cfa,3,0)/10000,0)</f>
        <v>0.59640000000000004</v>
      </c>
      <c r="F119" s="13">
        <f>IFERROR(VLOOKUP("筹资活动现金流出小计*",Source!cfa,4,0)/10000,0)</f>
        <v>0.2303</v>
      </c>
      <c r="G119" s="13">
        <f>IFERROR(VLOOKUP("筹资活动现金流出小计*",Source!cfa,5,0)/10000,0)</f>
        <v>0.2833</v>
      </c>
      <c r="H119" s="13">
        <f t="shared" si="65"/>
        <v>1.6899999999999915E-2</v>
      </c>
      <c r="I119" s="6">
        <f t="shared" si="66"/>
        <v>2.8336686787390875E-2</v>
      </c>
      <c r="J119" s="6">
        <f t="shared" si="67"/>
        <v>0.29362618184636458</v>
      </c>
      <c r="K119" s="28"/>
    </row>
    <row r="120" spans="2:11" ht="20.2" customHeight="1" x14ac:dyDescent="0.3">
      <c r="B120" s="27"/>
      <c r="C120" s="46" t="s">
        <v>592</v>
      </c>
      <c r="D120" s="13">
        <f>IFERROR(VLOOKUP("筹资活动产生的现金流量净额*",Source!cfa,2,0)/10000,0)</f>
        <v>0.78110000000000002</v>
      </c>
      <c r="E120" s="13">
        <f>IFERROR(VLOOKUP("筹资活动产生的现金流量净额*",Source!cfa,3,0)/10000,0)</f>
        <v>0.23719999999999999</v>
      </c>
      <c r="F120" s="13">
        <f>IFERROR(VLOOKUP("筹资活动产生的现金流量净额*",Source!cfa,4,0)/10000,0)</f>
        <v>-0.11799999999999999</v>
      </c>
      <c r="G120" s="13">
        <f>IFERROR(VLOOKUP("筹资活动产生的现金流量净额*",Source!cfa,5,0)/10000,0)</f>
        <v>0.22420000000000001</v>
      </c>
      <c r="H120" s="13">
        <f t="shared" si="65"/>
        <v>0.54390000000000005</v>
      </c>
      <c r="I120" s="6">
        <f t="shared" si="66"/>
        <v>2.2930016863406411</v>
      </c>
      <c r="J120" s="6">
        <f t="shared" si="67"/>
        <v>0.51596907912919443</v>
      </c>
      <c r="K120" s="28"/>
    </row>
    <row r="121" spans="2:11" ht="20.2" customHeight="1" x14ac:dyDescent="0.3">
      <c r="B121" s="27"/>
      <c r="C121" s="44"/>
      <c r="D121" s="44"/>
      <c r="E121" s="44"/>
      <c r="F121" s="44"/>
      <c r="G121" s="44"/>
      <c r="H121" s="44"/>
      <c r="I121" s="44"/>
      <c r="J121" s="44"/>
      <c r="K121" s="28"/>
    </row>
    <row r="122" spans="2:11" ht="20.2" customHeight="1" x14ac:dyDescent="0.3">
      <c r="B122" s="27"/>
      <c r="C122" s="125" t="s">
        <v>593</v>
      </c>
      <c r="D122" s="125"/>
      <c r="E122" s="125"/>
      <c r="F122" s="125"/>
      <c r="G122" s="125"/>
      <c r="H122" s="125"/>
      <c r="I122" s="125"/>
      <c r="J122" s="125"/>
      <c r="K122" s="28"/>
    </row>
    <row r="123" spans="2:11" ht="20.2" customHeight="1" x14ac:dyDescent="0.3">
      <c r="B123" s="27"/>
      <c r="C123" s="115" t="s">
        <v>594</v>
      </c>
      <c r="D123" s="116"/>
      <c r="E123" s="116"/>
      <c r="F123" s="116"/>
      <c r="G123" s="116"/>
      <c r="H123" s="116"/>
      <c r="I123" s="116"/>
      <c r="J123" s="117"/>
      <c r="K123" s="28"/>
    </row>
    <row r="124" spans="2:11" ht="20.2" customHeight="1" x14ac:dyDescent="0.3">
      <c r="B124" s="27"/>
      <c r="C124" s="59" t="s">
        <v>648</v>
      </c>
      <c r="D124" s="7">
        <f>Source!$C$3</f>
        <v>42916</v>
      </c>
      <c r="E124" s="7">
        <f>Source!$D$3</f>
        <v>42551</v>
      </c>
      <c r="F124" s="7">
        <f>Source!$E$3</f>
        <v>42185</v>
      </c>
      <c r="G124" s="7">
        <f>Source!$F$3</f>
        <v>41820</v>
      </c>
      <c r="H124" s="8" t="s">
        <v>649</v>
      </c>
      <c r="I124" s="59"/>
      <c r="J124" s="59"/>
      <c r="K124" s="28"/>
    </row>
    <row r="125" spans="2:11" ht="20.2" customHeight="1" x14ac:dyDescent="0.3">
      <c r="B125" s="27"/>
      <c r="C125" s="46" t="s">
        <v>597</v>
      </c>
      <c r="D125" s="6">
        <f>IFERROR(VLOOKUP("负债合计*",Source!bsa,2,0)/VLOOKUP("资产总计*",Source!bsa,2,0),0)</f>
        <v>0.20326918304266409</v>
      </c>
      <c r="E125" s="6">
        <f>IFERROR(VLOOKUP("负债合计*",Source!bsa,3,0)/VLOOKUP("资产总计*",Source!bsa,3,0),0)</f>
        <v>0.20881327662413476</v>
      </c>
      <c r="F125" s="6">
        <f>IFERROR(VLOOKUP("负债合计*",Source!bsa,4,0)/VLOOKUP("资产总计*",Source!bsa,4,0),0)</f>
        <v>0.18209008115099756</v>
      </c>
      <c r="G125" s="6">
        <f>IFERROR(VLOOKUP("负债合计*",Source!bsa,5,0)/VLOOKUP("资产总计*",Source!bsa,5,0),0)</f>
        <v>0.17402426970771698</v>
      </c>
      <c r="H125" s="6">
        <f>D125-E125</f>
        <v>-5.5440935814706771E-3</v>
      </c>
      <c r="I125" s="13"/>
      <c r="J125" s="13"/>
      <c r="K125" s="28"/>
    </row>
    <row r="126" spans="2:11" ht="20.2" customHeight="1" x14ac:dyDescent="0.3">
      <c r="B126" s="27"/>
      <c r="C126" s="46" t="s">
        <v>598</v>
      </c>
      <c r="D126" s="6">
        <f>IFERROR(VLOOKUP("流动资产合计*",Source!bsa,2,0)/VLOOKUP("资产总计*",Source!bsa,2,0),0)</f>
        <v>0.57864427046905664</v>
      </c>
      <c r="E126" s="6">
        <f>IFERROR(VLOOKUP("流动资产合计*",Source!bsa,3,0)/VLOOKUP("资产总计*",Source!bsa,3,0),0)</f>
        <v>0.59469935785172212</v>
      </c>
      <c r="F126" s="6">
        <f>IFERROR(VLOOKUP("流动资产合计*",Source!bsa,4,0)/VLOOKUP("资产总计*",Source!bsa,4,0),0)</f>
        <v>0.61814380382012124</v>
      </c>
      <c r="G126" s="6">
        <f>IFERROR(VLOOKUP("流动资产合计*",Source!bsa,5,0)/VLOOKUP("资产总计*",Source!bsa,5,0),0)</f>
        <v>0.69455218983861722</v>
      </c>
      <c r="H126" s="6">
        <f t="shared" ref="H126:H139" si="71">D126-E126</f>
        <v>-1.6055087382665478E-2</v>
      </c>
      <c r="I126" s="13"/>
      <c r="J126" s="13"/>
      <c r="K126" s="28"/>
    </row>
    <row r="127" spans="2:11" ht="20.2" customHeight="1" x14ac:dyDescent="0.3">
      <c r="B127" s="27"/>
      <c r="C127" s="46" t="s">
        <v>599</v>
      </c>
      <c r="D127" s="6">
        <f>IFERROR((D41+D42)/D33,0)</f>
        <v>3.2432371455000793E-4</v>
      </c>
      <c r="E127" s="6">
        <f>IFERROR((E41+E42)/E33,0)</f>
        <v>4.9370361104161462E-4</v>
      </c>
      <c r="F127" s="6">
        <f>IFERROR((F41+F42)/F33,0)</f>
        <v>6.4141181473475323E-4</v>
      </c>
      <c r="G127" s="6">
        <f>IFERROR((G41+G42)/G33,0)</f>
        <v>7.0599765774894731E-4</v>
      </c>
      <c r="H127" s="6">
        <f t="shared" si="71"/>
        <v>-1.6937989649160669E-4</v>
      </c>
      <c r="I127" s="13"/>
      <c r="J127" s="13"/>
      <c r="K127" s="28"/>
    </row>
    <row r="128" spans="2:11" ht="20.2" customHeight="1" x14ac:dyDescent="0.3">
      <c r="B128" s="27"/>
      <c r="C128" s="79" t="s">
        <v>723</v>
      </c>
      <c r="D128" s="6">
        <f>IFERROR((VLOOKUP("固定资产(*",Source!bsa,2,0)+VLOOKUP("无形资产(*",Source!bsa,2,0)+VLOOKUP("长期待摊费用*",Source!bsa,2,0))/VLOOKUP("资产总计*",Source!bsa,2,0),0)</f>
        <v>0.1719677142792681</v>
      </c>
      <c r="E128" s="6">
        <f>IFERROR((VLOOKUP("固定资产(*",Source!bsa,3,0)+VLOOKUP("无形资产(*",Source!bsa,3,0)+VLOOKUP("长期待摊费用*",Source!bsa,3,0))/VLOOKUP("资产总计*",Source!bsa,3,0),0)</f>
        <v>0.20371612042365106</v>
      </c>
      <c r="F128" s="6">
        <f>IFERROR((VLOOKUP("固定资产(*",Source!bsa,4,0)+VLOOKUP("无形资产(*",Source!bsa,4,0)+VLOOKUP("长期待摊费用*",Source!bsa,4,0))/VLOOKUP("资产总计*",Source!bsa,4,0),0)</f>
        <v>0.20839505297848968</v>
      </c>
      <c r="G128" s="6">
        <f>IFERROR((VLOOKUP("固定资产(*",Source!bsa,5,0)+VLOOKUP("无形资产(*",Source!bsa,5,0)+VLOOKUP("长期待摊费用*",Source!bsa,5,0))/VLOOKUP("资产总计*",Source!bsa,5,0),0)</f>
        <v>0.21209830809737784</v>
      </c>
      <c r="H128" s="6">
        <f t="shared" si="71"/>
        <v>-3.1748406144382957E-2</v>
      </c>
      <c r="I128" s="13"/>
      <c r="J128" s="13"/>
      <c r="K128" s="28"/>
    </row>
    <row r="129" spans="2:11" ht="20.2" customHeight="1" x14ac:dyDescent="0.3">
      <c r="B129" s="27"/>
      <c r="C129" s="78" t="s">
        <v>724</v>
      </c>
      <c r="D129" s="13">
        <f>IFERROR((VLOOKUP("可供出售*",Source!bsa,2,0)+VLOOKUP("投资性房地产*",Source!bsa,2,0)+VLOOKUP("持有至到期投资*",Source!bsa,2,0)+VLOOKUP("长期股权投资*",Source!bsa,2,0))/VLOOKUP("资产总计*",Source!bsa,2,0),0)</f>
        <v>6.3313629492588494E-2</v>
      </c>
      <c r="E129" s="13">
        <f>IFERROR((VLOOKUP("可供出售*",Source!bsa,3,0)+VLOOKUP("投资性房地产*",Source!bsa,3,0)+VLOOKUP("持有至到期投资*",Source!bsa,3,0)+VLOOKUP("长期股权投资*",Source!bsa,3,0))/VLOOKUP("资产总计*",Source!bsa,3,0),0)</f>
        <v>7.4889500458677344E-2</v>
      </c>
      <c r="F129" s="13">
        <f>IFERROR((VLOOKUP("可供出售*",Source!bsa,4,0)+VLOOKUP("投资性房地产*",Source!bsa,4,0)+VLOOKUP("持有至到期投资*",Source!bsa,4,0)+VLOOKUP("长期股权投资*",Source!bsa,4,0))/VLOOKUP("资产总计*",Source!bsa,4,0),0)</f>
        <v>7.9556327297211099E-2</v>
      </c>
      <c r="G129" s="13">
        <f>IFERROR((VLOOKUP("可供出售*",Source!bsa,5,0)+VLOOKUP("投资性房地产*",Source!bsa,5,0)+VLOOKUP("持有至到期投资*",Source!bsa,5,0)+VLOOKUP("长期股权投资*",Source!bsa,5,0))/VLOOKUP("资产总计*",Source!bsa,5,0),0)</f>
        <v>0</v>
      </c>
      <c r="H129" s="6">
        <f t="shared" si="71"/>
        <v>-1.157587096608885E-2</v>
      </c>
      <c r="I129" s="13"/>
      <c r="J129" s="13"/>
      <c r="K129" s="28"/>
    </row>
    <row r="130" spans="2:11" ht="20.2" customHeight="1" x14ac:dyDescent="0.3">
      <c r="B130" s="27"/>
      <c r="C130" s="115" t="s">
        <v>748</v>
      </c>
      <c r="D130" s="116"/>
      <c r="E130" s="116"/>
      <c r="F130" s="116"/>
      <c r="G130" s="116"/>
      <c r="H130" s="116"/>
      <c r="I130" s="116"/>
      <c r="J130" s="117"/>
      <c r="K130" s="28"/>
    </row>
    <row r="131" spans="2:11" ht="20.2" customHeight="1" x14ac:dyDescent="0.3">
      <c r="B131" s="27"/>
      <c r="C131" s="46" t="s">
        <v>725</v>
      </c>
      <c r="D131" s="6">
        <f>IFERROR(1-VLOOKUP("营业成本*",Source!isa,2,0)/VLOOKUP("营业收入*",Source!isa,2,0),0)</f>
        <v>0.5021481550832736</v>
      </c>
      <c r="E131" s="6">
        <f>IFERROR(1-VLOOKUP("营业成本*",Source!isa,3,0)/VLOOKUP("营业收入*",Source!isa,3,0),0)</f>
        <v>0.5121148499120467</v>
      </c>
      <c r="F131" s="6">
        <f>IFERROR(1-VLOOKUP("营业成本*",Source!isa,4,0)/VLOOKUP("营业收入*",Source!isa,4,0),0)</f>
        <v>0.52039136583895573</v>
      </c>
      <c r="G131" s="6">
        <f>IFERROR(1-VLOOKUP("营业成本*",Source!isa,5,0)/VLOOKUP("营业收入*",Source!isa,5,0),0)</f>
        <v>0.52033396175599245</v>
      </c>
      <c r="H131" s="6">
        <f t="shared" si="71"/>
        <v>-9.9666948287731039E-3</v>
      </c>
      <c r="I131" s="13"/>
      <c r="J131" s="13"/>
      <c r="K131" s="28"/>
    </row>
    <row r="132" spans="2:11" ht="20.2" customHeight="1" x14ac:dyDescent="0.3">
      <c r="B132" s="27"/>
      <c r="C132" s="46" t="s">
        <v>726</v>
      </c>
      <c r="D132" s="6">
        <f>IFERROR((VLOOKUP("管理费用*",Source!isa,2,0)+VLOOKUP("财务费用*",Source!isa,2,0)+VLOOKUP("销售费用*",Source!isa,2,0))/VLOOKUP("营业收入*",Source!isa,2,0),0)</f>
        <v>0.30966721800913355</v>
      </c>
      <c r="E132" s="6">
        <f>IFERROR((VLOOKUP("管理费用*",Source!isa,3,0)+VLOOKUP("财务费用*",Source!isa,3,0)+VLOOKUP("销售费用*",Source!isa,3,0))/VLOOKUP("营业收入*",Source!isa,3,0),0)</f>
        <v>0.28069000737672362</v>
      </c>
      <c r="F132" s="6">
        <f>IFERROR((VLOOKUP("管理费用*",Source!isa,4,0)+VLOOKUP("财务费用*",Source!isa,4,0)+VLOOKUP("销售费用*",Source!isa,4,0))/VLOOKUP("营业收入*",Source!isa,4,0),0)</f>
        <v>0.25984790521898404</v>
      </c>
      <c r="G132" s="6">
        <f>IFERROR((VLOOKUP("管理费用*",Source!isa,5,0)+VLOOKUP("财务费用*",Source!isa,5,0)+VLOOKUP("销售费用*",Source!isa,5,0))/VLOOKUP("营业收入*",Source!isa,5,0),0)</f>
        <v>0.27557699738872821</v>
      </c>
      <c r="H132" s="6">
        <f t="shared" si="71"/>
        <v>2.8977210632409933E-2</v>
      </c>
      <c r="I132" s="13"/>
      <c r="J132" s="13"/>
      <c r="K132" s="28"/>
    </row>
    <row r="133" spans="2:11" ht="20.2" customHeight="1" x14ac:dyDescent="0.3">
      <c r="B133" s="27"/>
      <c r="C133" s="53" t="s">
        <v>727</v>
      </c>
      <c r="D133" s="81">
        <f>IFERROR(VLOOKUP("营业总成本*",Source!isa,2,0)/VLOOKUP("营业收入*",Source!isa,2,0),0)</f>
        <v>0.81356302468557873</v>
      </c>
      <c r="E133" s="81">
        <f>IFERROR(VLOOKUP("营业总成本*",Source!isa,3,0)/VLOOKUP("营业收入*",Source!isa,3,0),0)</f>
        <v>0.77603132270328545</v>
      </c>
      <c r="F133" s="81">
        <f>IFERROR(VLOOKUP("营业总成本*",Source!isa,4,0)/VLOOKUP("营业收入*",Source!isa,4,0),0)</f>
        <v>0.74943775938420165</v>
      </c>
      <c r="G133" s="81">
        <f>IFERROR(VLOOKUP("营业总成本*",Source!isa,5,0)/VLOOKUP("营业收入*",Source!isa,5,0),0)</f>
        <v>0.76658977271396622</v>
      </c>
      <c r="H133" s="81">
        <f t="shared" si="71"/>
        <v>3.7531701982293275E-2</v>
      </c>
      <c r="I133" s="71"/>
      <c r="J133" s="71"/>
      <c r="K133" s="28"/>
    </row>
    <row r="134" spans="2:11" ht="20.2" customHeight="1" x14ac:dyDescent="0.3">
      <c r="B134" s="27"/>
      <c r="C134" s="46" t="s">
        <v>732</v>
      </c>
      <c r="D134" s="6">
        <f>IFERROR(VLOOKUP("财务费用*",Source!isa,2,0)/(D41+D42)/10000,0)</f>
        <v>-0.61739130434782608</v>
      </c>
      <c r="E134" s="6">
        <f>IFERROR(VLOOKUP("财务费用*",Source!isa,3,0)/(E41+E42)/10000,0)</f>
        <v>-2.3243243243243241</v>
      </c>
      <c r="F134" s="6">
        <f>IFERROR(VLOOKUP("财务费用*",Source!isa,4,0)/(F41+F42)/10000,0)</f>
        <v>-5.4917127071823195</v>
      </c>
      <c r="G134" s="6">
        <f>IFERROR(VLOOKUP("财务费用*",Source!isa,5,0)/(G41+G42)/10000,0)</f>
        <v>-1.2235294117647058</v>
      </c>
      <c r="H134" s="6">
        <f t="shared" si="71"/>
        <v>1.706933019976498</v>
      </c>
      <c r="I134" s="13"/>
      <c r="J134" s="13"/>
      <c r="K134" s="28"/>
    </row>
    <row r="135" spans="2:11" ht="20.2" customHeight="1" x14ac:dyDescent="0.3">
      <c r="B135" s="27"/>
      <c r="C135" s="46" t="s">
        <v>728</v>
      </c>
      <c r="D135" s="6">
        <f>IFERROR(VLOOKUP("支付给职工*",Source!cfa,2,0)/VLOOKUP("营业收入*",Source!isa,2,0),0)</f>
        <v>0.19263697739495886</v>
      </c>
      <c r="E135" s="6">
        <f>IFERROR(VLOOKUP("支付给职工*",Source!cfa,3,0)/VLOOKUP("营业收入*",Source!isa,3,0),0)</f>
        <v>0.18347613913635591</v>
      </c>
      <c r="F135" s="6">
        <f>IFERROR(VLOOKUP("支付给职工*",Source!cfa,4,0)/VLOOKUP("营业收入*",Source!isa,4,0),0)</f>
        <v>0.16837077739908651</v>
      </c>
      <c r="G135" s="6">
        <f>IFERROR(VLOOKUP("支付给职工*",Source!cfa,5,0)/VLOOKUP("营业收入*",Source!isa,5,0),0)</f>
        <v>0.14810477874448177</v>
      </c>
      <c r="H135" s="6">
        <f t="shared" si="71"/>
        <v>9.1608382586029491E-3</v>
      </c>
      <c r="I135" s="13"/>
      <c r="J135" s="13"/>
      <c r="K135" s="28"/>
    </row>
    <row r="136" spans="2:11" ht="20.2" customHeight="1" x14ac:dyDescent="0.3">
      <c r="B136" s="27"/>
      <c r="C136" s="80" t="s">
        <v>729</v>
      </c>
      <c r="D136" s="6">
        <f>IFERROR((VLOOKUP("固定资产折旧*",Source!cfa,2,0)+VLOOKUP("无形资产摊销*",Source!cfa,2,0)+VLOOKUP("长期待摊费用摊销*",Source!cfa,2,0))/VLOOKUP("营业收入*",Source!isa,2,0),0)</f>
        <v>2.4768800257986664E-2</v>
      </c>
      <c r="E136" s="6">
        <f>IFERROR((VLOOKUP("固定资产折旧*",Source!cfa,3,0)+VLOOKUP("无形资产摊销*",Source!cfa,3,0)+VLOOKUP("长期待摊费用摊销*",Source!cfa,3,0))/VLOOKUP("营业收入*",Source!isa,3,0),0)</f>
        <v>2.7793224763093684E-2</v>
      </c>
      <c r="F136" s="6">
        <f>IFERROR((VLOOKUP("固定资产折旧*",Source!cfa,4,0)+VLOOKUP("无形资产摊销*",Source!cfa,4,0)+VLOOKUP("长期待摊费用摊销*",Source!cfa,4,0))/VLOOKUP("营业收入*",Source!isa,4,0),0)</f>
        <v>2.4773364865178178E-2</v>
      </c>
      <c r="G136" s="6">
        <f>IFERROR((VLOOKUP("固定资产折旧*",Source!cfa,5,0)+VLOOKUP("无形资产摊销*",Source!cfa,5,0)+VLOOKUP("长期待摊费用摊销*",Source!cfa,5,0))/VLOOKUP("营业收入*",Source!isa,5,0),0)</f>
        <v>2.4883195353575568E-2</v>
      </c>
      <c r="H136" s="6">
        <f t="shared" si="71"/>
        <v>-3.02442450510702E-3</v>
      </c>
      <c r="I136" s="13"/>
      <c r="J136" s="13"/>
      <c r="K136" s="28"/>
    </row>
    <row r="137" spans="2:11" ht="20.2" customHeight="1" x14ac:dyDescent="0.3">
      <c r="B137" s="27"/>
      <c r="C137" s="46" t="s">
        <v>730</v>
      </c>
      <c r="D137" s="6">
        <f>IFERROR(VLOOKUP("支付的各项税费*",Source!cfa,2,0)/VLOOKUP("营业收入*",Source!isa,2,0),0)</f>
        <v>0.22780846570753882</v>
      </c>
      <c r="E137" s="6">
        <f>IFERROR(VLOOKUP("支付的各项税费*",Source!cfa,3,0)/VLOOKUP("营业收入*",Source!isa,3,0),0)</f>
        <v>0.24882256142540998</v>
      </c>
      <c r="F137" s="6">
        <f>IFERROR(VLOOKUP("支付的各项税费*",Source!cfa,4,0)/VLOOKUP("营业收入*",Source!isa,4,0),0)</f>
        <v>0.20773921309498969</v>
      </c>
      <c r="G137" s="6">
        <f>IFERROR(VLOOKUP("支付的各项税费*",Source!cfa,5,0)/VLOOKUP("营业收入*",Source!isa,5,0),0)</f>
        <v>0.21122027190013934</v>
      </c>
      <c r="H137" s="6">
        <f t="shared" si="71"/>
        <v>-2.1014095717871162E-2</v>
      </c>
      <c r="I137" s="13"/>
      <c r="J137" s="13"/>
      <c r="K137" s="28"/>
    </row>
    <row r="138" spans="2:11" ht="20.2" customHeight="1" x14ac:dyDescent="0.3">
      <c r="B138" s="27"/>
      <c r="C138" s="46" t="s">
        <v>731</v>
      </c>
      <c r="D138" s="6">
        <f>IFERROR(VLOOKUP("净利润*",Source!cfa,2,0)/VLOOKUP("营业收入*",Source!isa,2,0),0)</f>
        <v>0.16497622985779525</v>
      </c>
      <c r="E138" s="6">
        <f>IFERROR(VLOOKUP("净利润*",Source!cfa,3,0)/VLOOKUP("营业收入*",Source!isa,3,0),0)</f>
        <v>0.19220337059524484</v>
      </c>
      <c r="F138" s="6">
        <f>IFERROR(VLOOKUP("净利润*",Source!cfa,4,0)/VLOOKUP("营业收入*",Source!isa,4,0),0)</f>
        <v>0.2120400639910969</v>
      </c>
      <c r="G138" s="6">
        <f>IFERROR(VLOOKUP("净利润*",Source!cfa,5,0)/VLOOKUP("营业收入*",Source!isa,5,0),0)</f>
        <v>0.18449864752514666</v>
      </c>
      <c r="H138" s="6">
        <f t="shared" si="71"/>
        <v>-2.7227140737449584E-2</v>
      </c>
      <c r="I138" s="13"/>
      <c r="J138" s="13"/>
      <c r="K138" s="28"/>
    </row>
    <row r="139" spans="2:11" ht="20.2" customHeight="1" x14ac:dyDescent="0.3">
      <c r="B139" s="27"/>
      <c r="C139" s="46" t="s">
        <v>739</v>
      </c>
      <c r="D139" s="6">
        <f>1-SUM(D135:D138)</f>
        <v>0.38980952678172043</v>
      </c>
      <c r="E139" s="6">
        <f t="shared" ref="E139:G139" si="72">1-SUM(E135:E138)</f>
        <v>0.34770470407989562</v>
      </c>
      <c r="F139" s="6">
        <f t="shared" si="72"/>
        <v>0.38707658064964878</v>
      </c>
      <c r="G139" s="6">
        <f t="shared" si="72"/>
        <v>0.43129310647665664</v>
      </c>
      <c r="H139" s="6">
        <f t="shared" si="71"/>
        <v>4.2104822701824807E-2</v>
      </c>
      <c r="I139" s="13"/>
      <c r="J139" s="13"/>
      <c r="K139" s="28"/>
    </row>
    <row r="140" spans="2:11" ht="20.2" customHeight="1" x14ac:dyDescent="0.3">
      <c r="B140" s="27"/>
      <c r="C140" s="98" t="s">
        <v>734</v>
      </c>
      <c r="D140" s="99"/>
      <c r="E140" s="99"/>
      <c r="F140" s="99"/>
      <c r="G140" s="99"/>
      <c r="H140" s="99"/>
      <c r="I140" s="99"/>
      <c r="J140" s="100"/>
      <c r="K140" s="28"/>
    </row>
    <row r="141" spans="2:11" ht="20.2" customHeight="1" x14ac:dyDescent="0.3">
      <c r="B141" s="27"/>
      <c r="C141" s="115" t="s">
        <v>733</v>
      </c>
      <c r="D141" s="116"/>
      <c r="E141" s="116"/>
      <c r="F141" s="116"/>
      <c r="G141" s="116"/>
      <c r="H141" s="116"/>
      <c r="I141" s="116"/>
      <c r="J141" s="117"/>
      <c r="K141" s="28"/>
    </row>
    <row r="142" spans="2:11" ht="20.2" customHeight="1" x14ac:dyDescent="0.3">
      <c r="B142" s="27"/>
      <c r="C142" s="46" t="s">
        <v>601</v>
      </c>
      <c r="D142" s="13">
        <f>IFERROR((VLOOKUP("应收账款*",Source!bsa,2,0)+VLOOKUP("应收票据*",Source!bsa,2,0))*365/VLOOKUP("营业收入*",Source!isa,2,0),0)</f>
        <v>63.736125414807184</v>
      </c>
      <c r="E142" s="13">
        <f>IFERROR((VLOOKUP("应收账款*",Source!bsa,3,0)+VLOOKUP("应收票据*",Source!bsa,3,0))*365/VLOOKUP("营业收入*",Source!isa,3,0),0)</f>
        <v>50.37882312886569</v>
      </c>
      <c r="F142" s="13">
        <f>IFERROR((VLOOKUP("应收账款*",Source!bsa,4,0)+VLOOKUP("应收票据*",Source!bsa,4,0))*365/VLOOKUP("营业收入*",Source!isa,4,0),0)</f>
        <v>37.874324731631539</v>
      </c>
      <c r="G142" s="13">
        <f>IFERROR((VLOOKUP("应收账款*",Source!bsa,5,0)+VLOOKUP("应收票据*",Source!bsa,5,0))*365/VLOOKUP("营业收入*",Source!isa,5,0),0)</f>
        <v>26.187133338797878</v>
      </c>
      <c r="H142" s="6"/>
      <c r="I142" s="13"/>
      <c r="J142" s="13"/>
      <c r="K142" s="28"/>
    </row>
    <row r="143" spans="2:11" ht="20.2" customHeight="1" x14ac:dyDescent="0.3">
      <c r="B143" s="27"/>
      <c r="C143" s="46" t="s">
        <v>256</v>
      </c>
      <c r="D143" s="13">
        <f>IFERROR(VLOOKUP("存货*",Source!bsa,2,0)*365/VLOOKUP("营业成本*",Source!isa,2,0),0)</f>
        <v>590.80456767938483</v>
      </c>
      <c r="E143" s="13">
        <f>IFERROR(VLOOKUP("存货*",Source!bsa,3,0)*365/VLOOKUP("营业成本*",Source!isa,3,0),0)</f>
        <v>499.17294719702255</v>
      </c>
      <c r="F143" s="13">
        <f>IFERROR(VLOOKUP("存货*",Source!bsa,4,0)*365/VLOOKUP("营业成本*",Source!isa,4,0),0)</f>
        <v>546.28250991008406</v>
      </c>
      <c r="G143" s="13">
        <f>IFERROR(VLOOKUP("存货*",Source!bsa,5,0)*365/VLOOKUP("营业成本*",Source!isa,5,0),0)</f>
        <v>468.12098723238046</v>
      </c>
      <c r="H143" s="6"/>
      <c r="I143" s="13"/>
      <c r="J143" s="13"/>
      <c r="K143" s="28"/>
    </row>
    <row r="144" spans="2:11" ht="20.2" customHeight="1" x14ac:dyDescent="0.3">
      <c r="B144" s="27"/>
      <c r="C144" s="46" t="s">
        <v>257</v>
      </c>
      <c r="D144" s="13">
        <f>IFERROR(VLOOKUP("流动资产合计*",Source!bsa,2,0)*365/VLOOKUP("营业成本*",Source!isa,2,0),0)</f>
        <v>1564.8370178444566</v>
      </c>
      <c r="E144" s="13">
        <f>IFERROR(VLOOKUP("流动资产合计*",Source!bsa,3,0)*365/VLOOKUP("营业成本*",Source!isa,3,0),0)</f>
        <v>1513.6250290765295</v>
      </c>
      <c r="F144" s="13">
        <f>IFERROR(VLOOKUP("流动资产合计*",Source!bsa,4,0)*365/VLOOKUP("营业成本*",Source!isa,4,0),0)</f>
        <v>1538.9251184375908</v>
      </c>
      <c r="G144" s="13">
        <f>IFERROR(VLOOKUP("流动资产合计*",Source!bsa,5,0)*365/VLOOKUP("营业成本*",Source!isa,5,0),0)</f>
        <v>1490.2243488025779</v>
      </c>
      <c r="H144" s="6"/>
      <c r="I144" s="13"/>
      <c r="J144" s="13"/>
      <c r="K144" s="28"/>
    </row>
    <row r="145" spans="2:11" ht="20.2" customHeight="1" x14ac:dyDescent="0.3">
      <c r="B145" s="27"/>
      <c r="C145" s="46" t="s">
        <v>602</v>
      </c>
      <c r="D145" s="13">
        <f>IFERROR((VLOOKUP("固定资产(*",Source!bsa,2,0)+VLOOKUP("无形资产*",Source!bsa,2,0))*365/VLOOKUP("营业收入*",Source!isa,2,0),0)</f>
        <v>225.66598008925507</v>
      </c>
      <c r="E145" s="13">
        <f>IFERROR((VLOOKUP("固定资产(*",Source!bsa,3,0)+VLOOKUP("无形资产*",Source!bsa,3,0))*365/VLOOKUP("营业收入*",Source!isa,3,0),0)</f>
        <v>248.47256426261137</v>
      </c>
      <c r="F145" s="13">
        <f>IFERROR((VLOOKUP("固定资产(*",Source!bsa,4,0)+VLOOKUP("无形资产*",Source!bsa,4,0))*365/VLOOKUP("营业收入*",Source!isa,4,0),0)</f>
        <v>244.39961976304747</v>
      </c>
      <c r="G145" s="13">
        <f>IFERROR((VLOOKUP("固定资产(*",Source!bsa,5,0)+VLOOKUP("无形资产*",Source!bsa,5,0))*365/VLOOKUP("营业收入*",Source!isa,5,0),0)</f>
        <v>217.44680851063831</v>
      </c>
      <c r="H145" s="6"/>
      <c r="I145" s="13"/>
      <c r="J145" s="13"/>
      <c r="K145" s="28"/>
    </row>
    <row r="146" spans="2:11" ht="20.2" customHeight="1" x14ac:dyDescent="0.3">
      <c r="B146" s="27"/>
      <c r="C146" s="46" t="s">
        <v>603</v>
      </c>
      <c r="D146" s="13">
        <f>IFERROR((VLOOKUP("应收账款*",Source!bsa,2,0)+VLOOKUP("应收票据*",Source!bsa,2,0))*365/VLOOKUP("存货*",Source!bsa,2,0),0)</f>
        <v>79.092364293551924</v>
      </c>
      <c r="E146" s="13">
        <f>IFERROR((VLOOKUP("应收账款*",Source!bsa,3,0)+VLOOKUP("应收票据*",Source!bsa,3,0))*365/VLOOKUP("存货*",Source!bsa,3,0),0)</f>
        <v>75.504396781929827</v>
      </c>
      <c r="F146" s="13">
        <f>IFERROR((VLOOKUP("应收账款*",Source!bsa,4,0)+VLOOKUP("应收票据*",Source!bsa,4,0))*365/VLOOKUP("存货*",Source!bsa,4,0),0)</f>
        <v>52.76348514211886</v>
      </c>
      <c r="G146" s="13">
        <f>IFERROR((VLOOKUP("应收账款*",Source!bsa,5,0)+VLOOKUP("应收票据*",Source!bsa,5,0))*365/VLOOKUP("存货*",Source!bsa,5,0),0)</f>
        <v>42.568048576214409</v>
      </c>
      <c r="H146" s="6"/>
      <c r="I146" s="13"/>
      <c r="J146" s="13"/>
      <c r="K146" s="28"/>
    </row>
    <row r="147" spans="2:11" ht="20.2" customHeight="1" x14ac:dyDescent="0.3">
      <c r="B147" s="27"/>
      <c r="C147" s="46" t="s">
        <v>604</v>
      </c>
      <c r="D147" s="13">
        <f>IFERROR(VLOOKUP("预收*",Source!bsa,2,0)/VLOOKUP("存货*",Source!bsa,2,0),0)</f>
        <v>4.2793519654037306E-2</v>
      </c>
      <c r="E147" s="13">
        <f>IFERROR(VLOOKUP("预收*",Source!bsa,3,0)/VLOOKUP("存货*",Source!bsa,3,0),0)</f>
        <v>3.180650757743269E-2</v>
      </c>
      <c r="F147" s="13">
        <f>IFERROR(VLOOKUP("预收*",Source!bsa,4,0)/VLOOKUP("存货*",Source!bsa,4,0),0)</f>
        <v>2.7131782945736434E-2</v>
      </c>
      <c r="G147" s="13">
        <f>IFERROR(VLOOKUP("预收*",Source!bsa,5,0)/VLOOKUP("存货*",Source!bsa,5,0),0)</f>
        <v>3.9591898888381299E-2</v>
      </c>
      <c r="H147" s="6"/>
      <c r="I147" s="13"/>
      <c r="J147" s="13"/>
      <c r="K147" s="28"/>
    </row>
    <row r="148" spans="2:11" ht="20.2" customHeight="1" x14ac:dyDescent="0.3">
      <c r="B148" s="27"/>
      <c r="C148" s="115" t="s">
        <v>605</v>
      </c>
      <c r="D148" s="116"/>
      <c r="E148" s="116"/>
      <c r="F148" s="116"/>
      <c r="G148" s="116"/>
      <c r="H148" s="116"/>
      <c r="I148" s="116"/>
      <c r="J148" s="117"/>
      <c r="K148" s="28"/>
    </row>
    <row r="149" spans="2:11" ht="20.2" customHeight="1" x14ac:dyDescent="0.3">
      <c r="B149" s="27"/>
      <c r="C149" s="46" t="s">
        <v>606</v>
      </c>
      <c r="D149" s="13">
        <f>IFERROR(VLOOKUP("营业收入*",Source!isa,2,0)/VLOOKUP("资产总计*",Source!bsa,2,0),0)</f>
        <v>0.27110360309545833</v>
      </c>
      <c r="E149" s="13">
        <f>IFERROR(VLOOKUP("营业收入*",Source!isa,3,0)/VLOOKUP("资产总计*",Source!bsa,3,0),0)</f>
        <v>0.29393711950629636</v>
      </c>
      <c r="F149" s="13">
        <f>IFERROR(VLOOKUP("营业收入*",Source!isa,4,0)/VLOOKUP("资产总计*",Source!bsa,4,0),0)</f>
        <v>0.30568765725220598</v>
      </c>
      <c r="G149" s="13">
        <f>IFERROR(VLOOKUP("营业收入*",Source!isa,5,0)/VLOOKUP("资产总计*",Source!bsa,5,0),0)</f>
        <v>0.35465584690648438</v>
      </c>
      <c r="H149" s="13"/>
      <c r="I149" s="13"/>
      <c r="J149" s="13"/>
      <c r="K149" s="28"/>
    </row>
    <row r="150" spans="2:11" ht="20.2" customHeight="1" x14ac:dyDescent="0.3">
      <c r="B150" s="27"/>
      <c r="C150" s="46" t="s">
        <v>607</v>
      </c>
      <c r="D150" s="13">
        <f>IFERROR(VLOOKUP("资产总计*",Source!bsa,2,0)/VLOOKUP("所有者权益*",Source!bsa,2,0),0)</f>
        <v>1.2551246154989752</v>
      </c>
      <c r="E150" s="13">
        <f>IFERROR(VLOOKUP("资产总计*",Source!bsa,3,0)/VLOOKUP("所有者权益*",Source!bsa,3,0),0)</f>
        <v>1.2639188123737768</v>
      </c>
      <c r="F150" s="13">
        <f>IFERROR(VLOOKUP("资产总计*",Source!bsa,4,0)/VLOOKUP("所有者权益*",Source!bsa,4,0),0)</f>
        <v>1.2226285278545619</v>
      </c>
      <c r="G150" s="13">
        <f>IFERROR(VLOOKUP("资产总计*",Source!bsa,5,0)/VLOOKUP("所有者权益*",Source!bsa,5,0),0)</f>
        <v>1.2106954130193224</v>
      </c>
      <c r="H150" s="13"/>
      <c r="I150" s="13"/>
      <c r="J150" s="13"/>
      <c r="K150" s="28"/>
    </row>
    <row r="151" spans="2:11" ht="20.2" customHeight="1" x14ac:dyDescent="0.3">
      <c r="B151" s="27"/>
      <c r="C151" s="46" t="s">
        <v>615</v>
      </c>
      <c r="D151" s="13">
        <f>IFERROR(VLOOKUP("净利润*",Source!cfa,2,0)/VLOOKUP("营业收入*",Source!isa,2,0),0)</f>
        <v>0.16497622985779525</v>
      </c>
      <c r="E151" s="13">
        <f>IFERROR(VLOOKUP("净利润*",Source!cfa,3,0)/VLOOKUP("营业收入*",Source!isa,3,0),0)</f>
        <v>0.19220337059524484</v>
      </c>
      <c r="F151" s="13">
        <f>IFERROR(VLOOKUP("净利润*",Source!cfa,4,0)/VLOOKUP("营业收入*",Source!isa,4,0),0)</f>
        <v>0.2120400639910969</v>
      </c>
      <c r="G151" s="13">
        <f>IFERROR(VLOOKUP("净利润*",Source!cfa,5,0)/VLOOKUP("营业收入*",Source!isa,5,0),0)</f>
        <v>0.18449864752514666</v>
      </c>
      <c r="H151" s="13"/>
      <c r="I151" s="13"/>
      <c r="J151" s="13"/>
      <c r="K151" s="28"/>
    </row>
    <row r="152" spans="2:11" ht="20.2" customHeight="1" x14ac:dyDescent="0.3">
      <c r="B152" s="27"/>
      <c r="C152" s="46" t="s">
        <v>258</v>
      </c>
      <c r="D152" s="13">
        <f>IFERROR(VLOOKUP("净利润*",Source!isa,2,0)/VLOOKUP("所有者权益*",Source!bsa,2,0),0)</f>
        <v>5.6136264685372854E-2</v>
      </c>
      <c r="E152" s="13">
        <f>IFERROR(VLOOKUP("净利润*",Source!isa,3,0)/VLOOKUP("所有者权益*",Source!bsa,3,0),0)</f>
        <v>7.1405984509589807E-2</v>
      </c>
      <c r="F152" s="13">
        <f>IFERROR(VLOOKUP("净利润*",Source!isa,4,0)/VLOOKUP("所有者权益*",Source!bsa,4,0),0)</f>
        <v>7.924837309255392E-2</v>
      </c>
      <c r="G152" s="13">
        <f>IFERROR(VLOOKUP("净利润*",Source!isa,5,0)/VLOOKUP("所有者权益*",Source!bsa,5,0),0)</f>
        <v>7.9220067474822645E-2</v>
      </c>
      <c r="H152" s="13"/>
      <c r="I152" s="13"/>
      <c r="J152" s="13"/>
      <c r="K152" s="28"/>
    </row>
    <row r="153" spans="2:11" ht="20.2" customHeight="1" x14ac:dyDescent="0.3">
      <c r="B153" s="27"/>
      <c r="C153" s="46" t="s">
        <v>608</v>
      </c>
      <c r="D153" s="13">
        <f>IFERROR((D41+D42)+VLOOKUP("所有者权益*",Source!bsa,2,0)/10000,0)</f>
        <v>28.262400000000003</v>
      </c>
      <c r="E153" s="13">
        <f>IFERROR((E41+E42)+VLOOKUP("所有者权益*",Source!bsa,3,0)/10000,0)</f>
        <v>23.732700000000001</v>
      </c>
      <c r="F153" s="13">
        <f>IFERROR((F41+F42)+VLOOKUP("所有者权益*",Source!bsa,4,0)/10000,0)</f>
        <v>23.098700000000001</v>
      </c>
      <c r="G153" s="13">
        <f>IFERROR((G41+G42)+VLOOKUP("所有者权益*",Source!bsa,5,0)/10000,0)</f>
        <v>19.905899999999999</v>
      </c>
      <c r="H153" s="13"/>
      <c r="I153" s="13"/>
      <c r="J153" s="13"/>
      <c r="K153" s="28"/>
    </row>
    <row r="154" spans="2:11" ht="20.2" customHeight="1" x14ac:dyDescent="0.3">
      <c r="B154" s="27"/>
      <c r="C154" s="46" t="s">
        <v>609</v>
      </c>
      <c r="D154" s="13">
        <f>IFERROR((D41+D42-D34)+VLOOKUP("所有者权益*",Source!bsa,2,0)/10000,0)</f>
        <v>25.555100000000003</v>
      </c>
      <c r="E154" s="13">
        <f>IFERROR((E41+E42-E34)+VLOOKUP("所有者权益*",Source!bsa,3,0)/10000,0)</f>
        <v>19.456499999999998</v>
      </c>
      <c r="F154" s="13">
        <f>IFERROR((F41+F42-F34)+VLOOKUP("所有者权益*",Source!bsa,4,0)/10000,0)</f>
        <v>17.473600000000001</v>
      </c>
      <c r="G154" s="13">
        <f>IFERROR((G41+G42-G34)+VLOOKUP("所有者权益*",Source!bsa,5,0)/10000,0)</f>
        <v>13.2547</v>
      </c>
      <c r="H154" s="13"/>
      <c r="I154" s="13"/>
      <c r="J154" s="13"/>
      <c r="K154" s="28"/>
    </row>
    <row r="155" spans="2:11" ht="20.2" customHeight="1" x14ac:dyDescent="0.3">
      <c r="B155" s="27"/>
      <c r="C155" s="46" t="s">
        <v>610</v>
      </c>
      <c r="D155" s="13">
        <f>D91/D153</f>
        <v>5.6113422780797097E-2</v>
      </c>
      <c r="E155" s="13">
        <f>E91/E153</f>
        <v>7.136145487028446E-2</v>
      </c>
      <c r="F155" s="13">
        <f>F91/F153</f>
        <v>7.9186274552247526E-2</v>
      </c>
      <c r="G155" s="13">
        <f>G91/G153</f>
        <v>7.9152412098925443E-2</v>
      </c>
      <c r="H155" s="13"/>
      <c r="I155" s="13"/>
      <c r="J155" s="13"/>
      <c r="K155" s="28"/>
    </row>
    <row r="156" spans="2:11" ht="20.2" customHeight="1" x14ac:dyDescent="0.3">
      <c r="B156" s="27"/>
      <c r="C156" s="46" t="s">
        <v>259</v>
      </c>
      <c r="D156" s="13">
        <f>IFERROR((VLOOKUP("分配股利*",Source!cfa,2,0)-VLOOKUP("财务费用*",Source!isa,2,0)-VLOOKUP("*支付给少数股东*",Source!cfa,2,0))/VLOOKUP("净利润*",Source!isa,2,0),0)</f>
        <v>0.3911974273283309</v>
      </c>
      <c r="E156" s="13">
        <f>IFERROR((VLOOKUP("分配股利*",Source!cfa,3,0)-VLOOKUP("财务费用*",Source!isa,3,0)-VLOOKUP("*支付给少数股东*",Source!cfa,3,0))/VLOOKUP("净利润*",Source!isa,3,0),0)</f>
        <v>0.37246102975909307</v>
      </c>
      <c r="F156" s="13">
        <f>IFERROR((VLOOKUP("分配股利*",Source!cfa,4,0)-VLOOKUP("财务费用*",Source!isa,4,0)-VLOOKUP("*支付给少数股东*",Source!cfa,4,0))/VLOOKUP("净利润*",Source!isa,4,0),0)</f>
        <v>0.18025258323765786</v>
      </c>
      <c r="G156" s="13">
        <f>IFERROR((VLOOKUP("分配股利*",Source!cfa,5,0)-VLOOKUP("财务费用*",Source!isa,5,0)-VLOOKUP("*支付给少数股东*",Source!cfa,5,0))/VLOOKUP("净利润*",Source!isa,5,0),0)</f>
        <v>0.193005839045443</v>
      </c>
      <c r="H156" s="13"/>
      <c r="I156" s="13"/>
      <c r="J156" s="13"/>
      <c r="K156" s="28"/>
    </row>
    <row r="157" spans="2:11" ht="20.2" customHeight="1" x14ac:dyDescent="0.3">
      <c r="B157" s="27"/>
      <c r="C157" s="115" t="s">
        <v>750</v>
      </c>
      <c r="D157" s="116"/>
      <c r="E157" s="116"/>
      <c r="F157" s="116"/>
      <c r="G157" s="116"/>
      <c r="H157" s="116"/>
      <c r="I157" s="116"/>
      <c r="J157" s="117"/>
      <c r="K157" s="28"/>
    </row>
    <row r="158" spans="2:11" ht="20.2" customHeight="1" x14ac:dyDescent="0.3">
      <c r="B158" s="27"/>
      <c r="C158" s="46" t="s">
        <v>260</v>
      </c>
      <c r="D158" s="13">
        <f>IFERROR(VLOOKUP("货币*",Source!bsa,2,0)/VLOOKUP("未分配利润*",Source!bsa,2,0),0)</f>
        <v>0.13761570485286867</v>
      </c>
      <c r="E158" s="13">
        <f>IFERROR(VLOOKUP("货币*",Source!bsa,3,0)/VLOOKUP("未分配利润*",Source!bsa,3,0),0)</f>
        <v>0.2727881652728073</v>
      </c>
      <c r="F158" s="13">
        <f>IFERROR(VLOOKUP("货币*",Source!bsa,4,0)/VLOOKUP("未分配利润*",Source!bsa,4,0),0)</f>
        <v>0.43375435674408563</v>
      </c>
      <c r="G158" s="13">
        <f>IFERROR(VLOOKUP("货币*",Source!bsa,5,0)/VLOOKUP("未分配利润*",Source!bsa,5,0),0)</f>
        <v>0.69390310061344573</v>
      </c>
      <c r="H158" s="13"/>
      <c r="I158" s="13"/>
      <c r="J158" s="13"/>
      <c r="K158" s="28"/>
    </row>
    <row r="159" spans="2:11" ht="20.2" customHeight="1" x14ac:dyDescent="0.3">
      <c r="B159" s="27"/>
      <c r="C159" s="46" t="s">
        <v>612</v>
      </c>
      <c r="D159" s="13">
        <f>IFERROR(VLOOKUP("货币*",Source!bsa,2,0)/VLOOKUP("净利润*",Source!isa,2,0),0)</f>
        <v>1.7071063749290623</v>
      </c>
      <c r="E159" s="13">
        <f>IFERROR(VLOOKUP("货币*",Source!bsa,3,0)/VLOOKUP("净利润*",Source!isa,3,0),0)</f>
        <v>2.5249173358526216</v>
      </c>
      <c r="F159" s="13">
        <f>IFERROR(VLOOKUP("货币*",Source!bsa,4,0)/VLOOKUP("净利润*",Source!isa,4,0),0)</f>
        <v>3.0753375977256576</v>
      </c>
      <c r="G159" s="13">
        <f>IFERROR(VLOOKUP("货币*",Source!bsa,5,0)/VLOOKUP("净利润*",Source!isa,5,0),0)</f>
        <v>4.2213759837522211</v>
      </c>
      <c r="H159" s="13"/>
      <c r="I159" s="13"/>
      <c r="J159" s="13"/>
      <c r="K159" s="28"/>
    </row>
    <row r="160" spans="2:11" ht="20.2" customHeight="1" x14ac:dyDescent="0.3">
      <c r="B160" s="27"/>
      <c r="C160" s="46" t="s">
        <v>616</v>
      </c>
      <c r="D160" s="13">
        <f>IFERROR(VLOOKUP("未分配利润*",Source!bsa,2,0)/VLOOKUP("实收资本*",Source!bsa,2,0),0)</f>
        <v>2.264402214574293</v>
      </c>
      <c r="E160" s="13">
        <f>IFERROR(VLOOKUP("未分配利润*",Source!bsa,3,0)/VLOOKUP("实收资本*",Source!bsa,3,0),0)</f>
        <v>1.8416019548642522</v>
      </c>
      <c r="F160" s="13">
        <f>IFERROR(VLOOKUP("未分配利润*",Source!bsa,4,0)/VLOOKUP("实收资本*",Source!bsa,4,0),0)</f>
        <v>1.5108170136421357</v>
      </c>
      <c r="G160" s="13">
        <f>IFERROR(VLOOKUP("未分配利润*",Source!bsa,5,0)/VLOOKUP("实收资本*",Source!bsa,5,0),0)</f>
        <v>2.2459346736023242</v>
      </c>
      <c r="H160" s="13"/>
      <c r="I160" s="13"/>
      <c r="J160" s="13"/>
      <c r="K160" s="28"/>
    </row>
    <row r="161" spans="2:11" ht="20.2" customHeight="1" x14ac:dyDescent="0.3">
      <c r="B161" s="27"/>
      <c r="C161" s="46" t="s">
        <v>617</v>
      </c>
      <c r="D161" s="13">
        <f>IFERROR(VLOOKUP("资本公积*",Source!bsa,2,0)/VLOOKUP("实收资本*",Source!bsa,2,0),0)</f>
        <v>0.17133024090977106</v>
      </c>
      <c r="E161" s="13">
        <f>IFERROR(VLOOKUP("资本公积*",Source!bsa,3,0)/VLOOKUP("实收资本*",Source!bsa,3,0),0)</f>
        <v>9.3349467229003419E-2</v>
      </c>
      <c r="F161" s="13">
        <f>IFERROR(VLOOKUP("资本公积*",Source!bsa,4,0)/VLOOKUP("实收资本*",Source!bsa,4,0),0)</f>
        <v>0.11703577711243403</v>
      </c>
      <c r="G161" s="13">
        <f>IFERROR(VLOOKUP("资本公积*",Source!bsa,5,0)/VLOOKUP("实收资本*",Source!bsa,5,0),0)</f>
        <v>1.2025399503256948</v>
      </c>
      <c r="H161" s="13"/>
      <c r="I161" s="13"/>
      <c r="J161" s="13"/>
      <c r="K161" s="28"/>
    </row>
    <row r="162" spans="2:11" ht="13.9" thickBot="1" x14ac:dyDescent="0.35">
      <c r="B162" s="27"/>
      <c r="C162" s="44"/>
      <c r="D162" s="44"/>
      <c r="E162" s="44"/>
      <c r="F162" s="44"/>
      <c r="G162" s="44"/>
      <c r="H162" s="44"/>
      <c r="I162" s="44"/>
      <c r="J162" s="44"/>
      <c r="K162" s="28"/>
    </row>
    <row r="163" spans="2:11" ht="20.2" customHeight="1" thickBot="1" x14ac:dyDescent="0.35">
      <c r="B163" s="29"/>
      <c r="C163" s="61"/>
      <c r="D163" s="61"/>
      <c r="E163" s="61"/>
      <c r="F163" s="61"/>
      <c r="G163" s="121" t="s">
        <v>650</v>
      </c>
      <c r="H163" s="121"/>
      <c r="I163" s="121"/>
      <c r="J163" s="121"/>
      <c r="K163" s="60"/>
    </row>
    <row r="164" spans="2:11" ht="13.9" thickTop="1" x14ac:dyDescent="0.3"/>
    <row r="165" spans="2:11" x14ac:dyDescent="0.3"/>
    <row r="166" spans="2:11" x14ac:dyDescent="0.3"/>
    <row r="167" spans="2:11" x14ac:dyDescent="0.3"/>
    <row r="168" spans="2:11" x14ac:dyDescent="0.3"/>
    <row r="169" spans="2:11" x14ac:dyDescent="0.3"/>
    <row r="170" spans="2:11" x14ac:dyDescent="0.3"/>
    <row r="171" spans="2:11" x14ac:dyDescent="0.3"/>
    <row r="172" spans="2:11" x14ac:dyDescent="0.3"/>
    <row r="173" spans="2:11" x14ac:dyDescent="0.3"/>
    <row r="174" spans="2:11" x14ac:dyDescent="0.3"/>
    <row r="175" spans="2:11" x14ac:dyDescent="0.3"/>
    <row r="176" spans="2:11" x14ac:dyDescent="0.3"/>
    <row r="177" x14ac:dyDescent="0.3"/>
  </sheetData>
  <mergeCells count="34">
    <mergeCell ref="C140:J140"/>
    <mergeCell ref="I60:J60"/>
    <mergeCell ref="C3:J3"/>
    <mergeCell ref="C45:J45"/>
    <mergeCell ref="C107:J107"/>
    <mergeCell ref="C122:J122"/>
    <mergeCell ref="C123:J123"/>
    <mergeCell ref="C30:J30"/>
    <mergeCell ref="C31:J31"/>
    <mergeCell ref="C40:J40"/>
    <mergeCell ref="C71:J71"/>
    <mergeCell ref="C72:J72"/>
    <mergeCell ref="C84:J84"/>
    <mergeCell ref="I59:J59"/>
    <mergeCell ref="C5:J5"/>
    <mergeCell ref="C51:J51"/>
    <mergeCell ref="C17:J17"/>
    <mergeCell ref="I69:J69"/>
    <mergeCell ref="C157:J157"/>
    <mergeCell ref="C4:J4"/>
    <mergeCell ref="I66:J66"/>
    <mergeCell ref="I67:J67"/>
    <mergeCell ref="G163:J163"/>
    <mergeCell ref="I56:J56"/>
    <mergeCell ref="C130:J130"/>
    <mergeCell ref="C141:J141"/>
    <mergeCell ref="C148:J148"/>
    <mergeCell ref="I57:J57"/>
    <mergeCell ref="I54:J54"/>
    <mergeCell ref="C83:J83"/>
    <mergeCell ref="C100:J100"/>
    <mergeCell ref="C92:J92"/>
    <mergeCell ref="C99:J99"/>
    <mergeCell ref="C105:J105"/>
  </mergeCells>
  <phoneticPr fontId="1" type="noConversion"/>
  <pageMargins left="0.7" right="0.7" top="0.75" bottom="0.75" header="0.3" footer="0.3"/>
  <pageSetup paperSize="9" scale="99" fitToHeight="0" orientation="landscape" r:id="rId1"/>
  <ignoredErrors>
    <ignoredError sqref="D59:H59 D81:G8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B255"/>
  <sheetViews>
    <sheetView showGridLines="0" topLeftCell="A141" workbookViewId="0">
      <selection activeCell="C162" sqref="C162"/>
    </sheetView>
  </sheetViews>
  <sheetFormatPr defaultRowHeight="13.5" x14ac:dyDescent="0.3"/>
  <sheetData>
    <row r="2" spans="2:28" x14ac:dyDescent="0.3">
      <c r="B2" t="s">
        <v>752</v>
      </c>
    </row>
    <row r="4" spans="2:28" x14ac:dyDescent="0.3">
      <c r="B4" s="84" t="s">
        <v>346</v>
      </c>
      <c r="C4" s="2">
        <v>42825</v>
      </c>
      <c r="D4" s="2">
        <v>42460</v>
      </c>
      <c r="E4" s="2">
        <v>42094</v>
      </c>
      <c r="F4" s="2">
        <v>41729</v>
      </c>
      <c r="G4" s="84"/>
      <c r="I4" s="84" t="s">
        <v>346</v>
      </c>
      <c r="J4" s="2">
        <v>42916</v>
      </c>
      <c r="K4" s="2">
        <v>42551</v>
      </c>
      <c r="L4" s="2">
        <v>42185</v>
      </c>
      <c r="M4" s="2">
        <v>41820</v>
      </c>
      <c r="N4" s="84"/>
      <c r="P4" s="84" t="s">
        <v>346</v>
      </c>
      <c r="Q4" s="2">
        <v>42643</v>
      </c>
      <c r="R4" s="2">
        <v>42277</v>
      </c>
      <c r="S4" s="2">
        <v>41912</v>
      </c>
      <c r="T4" s="2">
        <v>41547</v>
      </c>
      <c r="U4" s="84"/>
      <c r="W4" s="84" t="s">
        <v>346</v>
      </c>
      <c r="X4" s="2">
        <v>42735</v>
      </c>
      <c r="Y4" s="2">
        <v>42369</v>
      </c>
      <c r="Z4" s="2">
        <v>42004</v>
      </c>
      <c r="AA4" s="2">
        <v>41639</v>
      </c>
      <c r="AB4" s="84"/>
    </row>
    <row r="5" spans="2:28" x14ac:dyDescent="0.3">
      <c r="B5" s="84" t="s">
        <v>347</v>
      </c>
      <c r="C5" s="84">
        <v>43740</v>
      </c>
      <c r="D5" s="84">
        <v>56201</v>
      </c>
      <c r="E5" s="84">
        <v>90944</v>
      </c>
      <c r="F5" s="84">
        <v>76323</v>
      </c>
      <c r="G5" s="84"/>
      <c r="I5" s="84" t="s">
        <v>347</v>
      </c>
      <c r="J5" s="84">
        <v>27073</v>
      </c>
      <c r="K5" s="84">
        <v>42762</v>
      </c>
      <c r="L5" s="84">
        <v>56251</v>
      </c>
      <c r="M5" s="84">
        <v>66512</v>
      </c>
      <c r="N5" s="84"/>
      <c r="P5" s="84" t="s">
        <v>347</v>
      </c>
      <c r="Q5" s="84">
        <v>39298</v>
      </c>
      <c r="R5" s="84">
        <v>79874</v>
      </c>
      <c r="S5" s="84">
        <v>75574</v>
      </c>
      <c r="T5" s="84">
        <v>50118</v>
      </c>
      <c r="U5" s="84"/>
      <c r="W5" s="84" t="s">
        <v>347</v>
      </c>
      <c r="X5" s="84">
        <v>55344</v>
      </c>
      <c r="Y5" s="84">
        <v>74794</v>
      </c>
      <c r="Z5" s="84">
        <v>96451</v>
      </c>
      <c r="AA5" s="84">
        <v>70349</v>
      </c>
      <c r="AB5" s="84"/>
    </row>
    <row r="6" spans="2:28" x14ac:dyDescent="0.3">
      <c r="B6" s="84" t="s">
        <v>348</v>
      </c>
      <c r="C6" s="84">
        <v>0</v>
      </c>
      <c r="D6" s="84">
        <v>0</v>
      </c>
      <c r="E6" s="84">
        <v>0</v>
      </c>
      <c r="F6" s="84">
        <v>0</v>
      </c>
      <c r="G6" s="84"/>
      <c r="I6" s="84" t="s">
        <v>348</v>
      </c>
      <c r="J6" s="84">
        <v>0</v>
      </c>
      <c r="K6" s="84">
        <v>0</v>
      </c>
      <c r="L6" s="84">
        <v>0</v>
      </c>
      <c r="M6" s="84">
        <v>0</v>
      </c>
      <c r="N6" s="84"/>
      <c r="P6" s="84" t="s">
        <v>348</v>
      </c>
      <c r="Q6" s="84">
        <v>0</v>
      </c>
      <c r="R6" s="84">
        <v>0</v>
      </c>
      <c r="S6" s="84">
        <v>0</v>
      </c>
      <c r="T6" s="84">
        <v>0</v>
      </c>
      <c r="U6" s="84"/>
      <c r="W6" s="84" t="s">
        <v>348</v>
      </c>
      <c r="X6" s="84">
        <v>0</v>
      </c>
      <c r="Y6" s="84">
        <v>0</v>
      </c>
      <c r="Z6" s="84">
        <v>0</v>
      </c>
      <c r="AA6" s="84">
        <v>0</v>
      </c>
      <c r="AB6" s="84"/>
    </row>
    <row r="7" spans="2:28" x14ac:dyDescent="0.3">
      <c r="B7" s="84" t="s">
        <v>349</v>
      </c>
      <c r="C7" s="84">
        <v>0</v>
      </c>
      <c r="D7" s="84">
        <v>0</v>
      </c>
      <c r="E7" s="84">
        <v>0</v>
      </c>
      <c r="F7" s="84">
        <v>0</v>
      </c>
      <c r="G7" s="84"/>
      <c r="I7" s="84" t="s">
        <v>349</v>
      </c>
      <c r="J7" s="84">
        <v>0</v>
      </c>
      <c r="K7" s="84">
        <v>0</v>
      </c>
      <c r="L7" s="84">
        <v>0</v>
      </c>
      <c r="M7" s="84">
        <v>0</v>
      </c>
      <c r="N7" s="84"/>
      <c r="P7" s="84" t="s">
        <v>349</v>
      </c>
      <c r="Q7" s="84">
        <v>0</v>
      </c>
      <c r="R7" s="84">
        <v>0</v>
      </c>
      <c r="S7" s="84">
        <v>0</v>
      </c>
      <c r="T7" s="84">
        <v>0</v>
      </c>
      <c r="U7" s="84"/>
      <c r="W7" s="84" t="s">
        <v>349</v>
      </c>
      <c r="X7" s="84">
        <v>0</v>
      </c>
      <c r="Y7" s="84">
        <v>0</v>
      </c>
      <c r="Z7" s="84">
        <v>0</v>
      </c>
      <c r="AA7" s="84">
        <v>0</v>
      </c>
      <c r="AB7" s="84"/>
    </row>
    <row r="8" spans="2:28" x14ac:dyDescent="0.3">
      <c r="B8" s="84" t="s">
        <v>350</v>
      </c>
      <c r="C8" s="84">
        <v>0</v>
      </c>
      <c r="D8" s="84">
        <v>0</v>
      </c>
      <c r="E8" s="84">
        <v>0</v>
      </c>
      <c r="F8" s="84">
        <v>0</v>
      </c>
      <c r="G8" s="84"/>
      <c r="I8" s="84" t="s">
        <v>350</v>
      </c>
      <c r="J8" s="84">
        <v>0</v>
      </c>
      <c r="K8" s="84">
        <v>0</v>
      </c>
      <c r="L8" s="84">
        <v>0</v>
      </c>
      <c r="M8" s="84">
        <v>0</v>
      </c>
      <c r="N8" s="84"/>
      <c r="P8" s="84" t="s">
        <v>350</v>
      </c>
      <c r="Q8" s="84">
        <v>0</v>
      </c>
      <c r="R8" s="84">
        <v>0</v>
      </c>
      <c r="S8" s="84">
        <v>0</v>
      </c>
      <c r="T8" s="84">
        <v>0</v>
      </c>
      <c r="U8" s="84"/>
      <c r="W8" s="84" t="s">
        <v>350</v>
      </c>
      <c r="X8" s="84">
        <v>0</v>
      </c>
      <c r="Y8" s="84">
        <v>0</v>
      </c>
      <c r="Z8" s="84">
        <v>0</v>
      </c>
      <c r="AA8" s="84">
        <v>0</v>
      </c>
      <c r="AB8" s="84"/>
    </row>
    <row r="9" spans="2:28" x14ac:dyDescent="0.3">
      <c r="B9" s="84" t="s">
        <v>351</v>
      </c>
      <c r="C9" s="84">
        <v>0</v>
      </c>
      <c r="D9" s="84">
        <v>0</v>
      </c>
      <c r="E9" s="84">
        <v>0</v>
      </c>
      <c r="F9" s="84">
        <v>0</v>
      </c>
      <c r="G9" s="84"/>
      <c r="I9" s="84" t="s">
        <v>351</v>
      </c>
      <c r="J9" s="84">
        <v>0</v>
      </c>
      <c r="K9" s="84">
        <v>0</v>
      </c>
      <c r="L9" s="84">
        <v>0</v>
      </c>
      <c r="M9" s="84">
        <v>0</v>
      </c>
      <c r="N9" s="84"/>
      <c r="P9" s="84" t="s">
        <v>351</v>
      </c>
      <c r="Q9" s="84">
        <v>0</v>
      </c>
      <c r="R9" s="84">
        <v>0</v>
      </c>
      <c r="S9" s="84">
        <v>0</v>
      </c>
      <c r="T9" s="84">
        <v>0</v>
      </c>
      <c r="U9" s="84"/>
      <c r="W9" s="84" t="s">
        <v>351</v>
      </c>
      <c r="X9" s="84">
        <v>0</v>
      </c>
      <c r="Y9" s="84">
        <v>0</v>
      </c>
      <c r="Z9" s="84">
        <v>0</v>
      </c>
      <c r="AA9" s="84">
        <v>0</v>
      </c>
      <c r="AB9" s="84"/>
    </row>
    <row r="10" spans="2:28" x14ac:dyDescent="0.3">
      <c r="B10" s="84" t="s">
        <v>352</v>
      </c>
      <c r="C10" s="84">
        <v>0</v>
      </c>
      <c r="D10" s="84">
        <v>0</v>
      </c>
      <c r="E10" s="84">
        <v>0</v>
      </c>
      <c r="F10" s="84">
        <v>20</v>
      </c>
      <c r="G10" s="84"/>
      <c r="I10" s="84" t="s">
        <v>352</v>
      </c>
      <c r="J10" s="84">
        <v>0</v>
      </c>
      <c r="K10" s="84">
        <v>0</v>
      </c>
      <c r="L10" s="84">
        <v>316</v>
      </c>
      <c r="M10" s="84">
        <v>100</v>
      </c>
      <c r="N10" s="84"/>
      <c r="P10" s="84" t="s">
        <v>352</v>
      </c>
      <c r="Q10" s="84">
        <v>20</v>
      </c>
      <c r="R10" s="84">
        <v>144</v>
      </c>
      <c r="S10" s="84">
        <v>503</v>
      </c>
      <c r="T10" s="84">
        <v>0</v>
      </c>
      <c r="U10" s="84"/>
      <c r="W10" s="84" t="s">
        <v>352</v>
      </c>
      <c r="X10" s="84">
        <v>0</v>
      </c>
      <c r="Y10" s="84">
        <v>0</v>
      </c>
      <c r="Z10" s="84">
        <v>685</v>
      </c>
      <c r="AA10" s="84">
        <v>94</v>
      </c>
      <c r="AB10" s="84"/>
    </row>
    <row r="11" spans="2:28" x14ac:dyDescent="0.3">
      <c r="B11" s="84" t="s">
        <v>353</v>
      </c>
      <c r="C11" s="84">
        <v>15130</v>
      </c>
      <c r="D11" s="84">
        <v>11816</v>
      </c>
      <c r="E11" s="84">
        <v>8404</v>
      </c>
      <c r="F11" s="84">
        <v>6549</v>
      </c>
      <c r="G11" s="84"/>
      <c r="I11" s="84" t="s">
        <v>353</v>
      </c>
      <c r="J11" s="84">
        <v>16786</v>
      </c>
      <c r="K11" s="84">
        <v>12162</v>
      </c>
      <c r="L11" s="84">
        <v>8635</v>
      </c>
      <c r="M11" s="84">
        <v>6027</v>
      </c>
      <c r="N11" s="84"/>
      <c r="P11" s="84" t="s">
        <v>353</v>
      </c>
      <c r="Q11" s="84">
        <v>13898</v>
      </c>
      <c r="R11" s="84">
        <v>8034</v>
      </c>
      <c r="S11" s="84">
        <v>4732</v>
      </c>
      <c r="T11" s="84">
        <v>9002</v>
      </c>
      <c r="U11" s="84"/>
      <c r="W11" s="84" t="s">
        <v>353</v>
      </c>
      <c r="X11" s="84">
        <v>31295</v>
      </c>
      <c r="Y11" s="84">
        <v>19411</v>
      </c>
      <c r="Z11" s="84">
        <v>7608</v>
      </c>
      <c r="AA11" s="84">
        <v>6890</v>
      </c>
      <c r="AB11" s="84"/>
    </row>
    <row r="12" spans="2:28" x14ac:dyDescent="0.3">
      <c r="B12" s="84" t="s">
        <v>354</v>
      </c>
      <c r="C12" s="84">
        <v>2913</v>
      </c>
      <c r="D12" s="84">
        <v>2763</v>
      </c>
      <c r="E12" s="84">
        <v>1791</v>
      </c>
      <c r="F12" s="84">
        <v>2663</v>
      </c>
      <c r="G12" s="84"/>
      <c r="I12" s="84" t="s">
        <v>354</v>
      </c>
      <c r="J12" s="84">
        <v>9554</v>
      </c>
      <c r="K12" s="84">
        <v>2204</v>
      </c>
      <c r="L12" s="84">
        <v>2586</v>
      </c>
      <c r="M12" s="84">
        <v>4376</v>
      </c>
      <c r="N12" s="84"/>
      <c r="P12" s="84" t="s">
        <v>354</v>
      </c>
      <c r="Q12" s="84">
        <v>1269</v>
      </c>
      <c r="R12" s="84">
        <v>2877</v>
      </c>
      <c r="S12" s="84">
        <v>4129</v>
      </c>
      <c r="T12" s="84">
        <v>4550</v>
      </c>
      <c r="U12" s="84"/>
      <c r="W12" s="84" t="s">
        <v>354</v>
      </c>
      <c r="X12" s="84">
        <v>2131</v>
      </c>
      <c r="Y12" s="84">
        <v>2763</v>
      </c>
      <c r="Z12" s="84">
        <v>2149</v>
      </c>
      <c r="AA12" s="84">
        <v>2453</v>
      </c>
      <c r="AB12" s="84"/>
    </row>
    <row r="13" spans="2:28" x14ac:dyDescent="0.3">
      <c r="B13" s="84" t="s">
        <v>355</v>
      </c>
      <c r="C13" s="84">
        <v>0</v>
      </c>
      <c r="D13" s="84">
        <v>0</v>
      </c>
      <c r="E13" s="84">
        <v>0</v>
      </c>
      <c r="F13" s="84">
        <v>0</v>
      </c>
      <c r="G13" s="84"/>
      <c r="I13" s="84" t="s">
        <v>355</v>
      </c>
      <c r="J13" s="84">
        <v>0</v>
      </c>
      <c r="K13" s="84">
        <v>0</v>
      </c>
      <c r="L13" s="84">
        <v>0</v>
      </c>
      <c r="M13" s="84">
        <v>0</v>
      </c>
      <c r="N13" s="84"/>
      <c r="P13" s="84" t="s">
        <v>355</v>
      </c>
      <c r="Q13" s="84">
        <v>0</v>
      </c>
      <c r="R13" s="84">
        <v>0</v>
      </c>
      <c r="S13" s="84">
        <v>0</v>
      </c>
      <c r="T13" s="84">
        <v>0</v>
      </c>
      <c r="U13" s="84"/>
      <c r="W13" s="84" t="s">
        <v>355</v>
      </c>
      <c r="X13" s="84">
        <v>0</v>
      </c>
      <c r="Y13" s="84">
        <v>0</v>
      </c>
      <c r="Z13" s="84">
        <v>0</v>
      </c>
      <c r="AA13" s="84">
        <v>0</v>
      </c>
      <c r="AB13" s="84"/>
    </row>
    <row r="14" spans="2:28" x14ac:dyDescent="0.3">
      <c r="B14" s="84" t="s">
        <v>356</v>
      </c>
      <c r="C14" s="84">
        <v>0</v>
      </c>
      <c r="D14" s="84">
        <v>0</v>
      </c>
      <c r="E14" s="84">
        <v>0</v>
      </c>
      <c r="F14" s="84">
        <v>0</v>
      </c>
      <c r="G14" s="84"/>
      <c r="I14" s="84" t="s">
        <v>356</v>
      </c>
      <c r="J14" s="84">
        <v>0</v>
      </c>
      <c r="K14" s="84">
        <v>0</v>
      </c>
      <c r="L14" s="84">
        <v>0</v>
      </c>
      <c r="M14" s="84">
        <v>0</v>
      </c>
      <c r="N14" s="84"/>
      <c r="P14" s="84" t="s">
        <v>356</v>
      </c>
      <c r="Q14" s="84">
        <v>0</v>
      </c>
      <c r="R14" s="84">
        <v>0</v>
      </c>
      <c r="S14" s="84">
        <v>0</v>
      </c>
      <c r="T14" s="84">
        <v>0</v>
      </c>
      <c r="U14" s="84"/>
      <c r="W14" s="84" t="s">
        <v>356</v>
      </c>
      <c r="X14" s="84">
        <v>0</v>
      </c>
      <c r="Y14" s="84">
        <v>0</v>
      </c>
      <c r="Z14" s="84">
        <v>0</v>
      </c>
      <c r="AA14" s="84">
        <v>0</v>
      </c>
      <c r="AB14" s="84"/>
    </row>
    <row r="15" spans="2:28" x14ac:dyDescent="0.3">
      <c r="B15" s="84" t="s">
        <v>357</v>
      </c>
      <c r="C15" s="84">
        <v>0</v>
      </c>
      <c r="D15" s="84">
        <v>0</v>
      </c>
      <c r="E15" s="84">
        <v>0</v>
      </c>
      <c r="F15" s="84">
        <v>0</v>
      </c>
      <c r="G15" s="84"/>
      <c r="I15" s="84" t="s">
        <v>357</v>
      </c>
      <c r="J15" s="84">
        <v>0</v>
      </c>
      <c r="K15" s="84">
        <v>0</v>
      </c>
      <c r="L15" s="84">
        <v>0</v>
      </c>
      <c r="M15" s="84">
        <v>0</v>
      </c>
      <c r="N15" s="84"/>
      <c r="P15" s="84" t="s">
        <v>357</v>
      </c>
      <c r="Q15" s="84">
        <v>0</v>
      </c>
      <c r="R15" s="84">
        <v>0</v>
      </c>
      <c r="S15" s="84">
        <v>0</v>
      </c>
      <c r="T15" s="84">
        <v>0</v>
      </c>
      <c r="U15" s="84"/>
      <c r="W15" s="84" t="s">
        <v>357</v>
      </c>
      <c r="X15" s="84">
        <v>0</v>
      </c>
      <c r="Y15" s="84">
        <v>0</v>
      </c>
      <c r="Z15" s="84">
        <v>0</v>
      </c>
      <c r="AA15" s="84">
        <v>0</v>
      </c>
      <c r="AB15" s="84"/>
    </row>
    <row r="16" spans="2:28" x14ac:dyDescent="0.3">
      <c r="B16" s="84" t="s">
        <v>358</v>
      </c>
      <c r="C16" s="84">
        <v>1620</v>
      </c>
      <c r="D16" s="84">
        <v>886</v>
      </c>
      <c r="E16" s="84">
        <v>0</v>
      </c>
      <c r="F16" s="84">
        <v>0</v>
      </c>
      <c r="G16" s="84"/>
      <c r="I16" s="84" t="s">
        <v>358</v>
      </c>
      <c r="J16" s="84">
        <v>995</v>
      </c>
      <c r="K16" s="84">
        <v>466</v>
      </c>
      <c r="L16" s="84">
        <v>807</v>
      </c>
      <c r="M16" s="84">
        <v>0</v>
      </c>
      <c r="N16" s="84"/>
      <c r="P16" s="84" t="s">
        <v>358</v>
      </c>
      <c r="Q16" s="84">
        <v>620</v>
      </c>
      <c r="R16" s="84">
        <v>1097</v>
      </c>
      <c r="S16" s="84">
        <v>0</v>
      </c>
      <c r="T16" s="84">
        <v>0</v>
      </c>
      <c r="U16" s="84"/>
      <c r="W16" s="84" t="s">
        <v>358</v>
      </c>
      <c r="X16" s="84">
        <v>0</v>
      </c>
      <c r="Y16" s="84">
        <v>85</v>
      </c>
      <c r="Z16" s="84">
        <v>47</v>
      </c>
      <c r="AA16" s="84">
        <v>300</v>
      </c>
      <c r="AB16" s="84"/>
    </row>
    <row r="17" spans="2:28" x14ac:dyDescent="0.3">
      <c r="B17" s="84" t="s">
        <v>359</v>
      </c>
      <c r="C17" s="84">
        <v>0</v>
      </c>
      <c r="D17" s="84">
        <v>0</v>
      </c>
      <c r="E17" s="84">
        <v>0</v>
      </c>
      <c r="F17" s="84">
        <v>0</v>
      </c>
      <c r="G17" s="84"/>
      <c r="I17" s="84" t="s">
        <v>359</v>
      </c>
      <c r="J17" s="84">
        <v>0</v>
      </c>
      <c r="K17" s="84">
        <v>0</v>
      </c>
      <c r="L17" s="84">
        <v>0</v>
      </c>
      <c r="M17" s="84">
        <v>0</v>
      </c>
      <c r="N17" s="84"/>
      <c r="P17" s="84" t="s">
        <v>359</v>
      </c>
      <c r="Q17" s="84">
        <v>0</v>
      </c>
      <c r="R17" s="84">
        <v>0</v>
      </c>
      <c r="S17" s="84">
        <v>0</v>
      </c>
      <c r="T17" s="84">
        <v>0</v>
      </c>
      <c r="U17" s="84"/>
      <c r="W17" s="84" t="s">
        <v>359</v>
      </c>
      <c r="X17" s="84">
        <v>0</v>
      </c>
      <c r="Y17" s="84">
        <v>0</v>
      </c>
      <c r="Z17" s="84">
        <v>0</v>
      </c>
      <c r="AA17" s="84">
        <v>0</v>
      </c>
      <c r="AB17" s="84"/>
    </row>
    <row r="18" spans="2:28" x14ac:dyDescent="0.3">
      <c r="B18" s="84" t="s">
        <v>360</v>
      </c>
      <c r="C18" s="84">
        <v>5386</v>
      </c>
      <c r="D18" s="84">
        <v>3216</v>
      </c>
      <c r="E18" s="84">
        <v>3822</v>
      </c>
      <c r="F18" s="84">
        <v>2474</v>
      </c>
      <c r="G18" s="84"/>
      <c r="I18" s="84" t="s">
        <v>360</v>
      </c>
      <c r="J18" s="84">
        <v>10766</v>
      </c>
      <c r="K18" s="84">
        <v>4018</v>
      </c>
      <c r="L18" s="84">
        <v>2515</v>
      </c>
      <c r="M18" s="84">
        <v>2198</v>
      </c>
      <c r="N18" s="84"/>
      <c r="P18" s="84" t="s">
        <v>360</v>
      </c>
      <c r="Q18" s="84">
        <v>4892</v>
      </c>
      <c r="R18" s="84">
        <v>3244</v>
      </c>
      <c r="S18" s="84">
        <v>2616</v>
      </c>
      <c r="T18" s="84">
        <v>2968</v>
      </c>
      <c r="U18" s="84"/>
      <c r="W18" s="84" t="s">
        <v>360</v>
      </c>
      <c r="X18" s="84">
        <v>3655</v>
      </c>
      <c r="Y18" s="84">
        <v>3104</v>
      </c>
      <c r="Z18" s="84">
        <v>2489</v>
      </c>
      <c r="AA18" s="84">
        <v>2340</v>
      </c>
      <c r="AB18" s="84"/>
    </row>
    <row r="19" spans="2:28" x14ac:dyDescent="0.3">
      <c r="B19" s="84" t="s">
        <v>361</v>
      </c>
      <c r="C19" s="84">
        <v>0</v>
      </c>
      <c r="D19" s="84">
        <v>0</v>
      </c>
      <c r="E19" s="84">
        <v>0</v>
      </c>
      <c r="F19" s="84">
        <v>0</v>
      </c>
      <c r="G19" s="84"/>
      <c r="I19" s="84" t="s">
        <v>361</v>
      </c>
      <c r="J19" s="84">
        <v>0</v>
      </c>
      <c r="K19" s="84">
        <v>0</v>
      </c>
      <c r="L19" s="84">
        <v>0</v>
      </c>
      <c r="M19" s="84">
        <v>0</v>
      </c>
      <c r="N19" s="84"/>
      <c r="P19" s="84" t="s">
        <v>361</v>
      </c>
      <c r="Q19" s="84">
        <v>0</v>
      </c>
      <c r="R19" s="84">
        <v>0</v>
      </c>
      <c r="S19" s="84">
        <v>0</v>
      </c>
      <c r="T19" s="84">
        <v>0</v>
      </c>
      <c r="U19" s="84"/>
      <c r="W19" s="84" t="s">
        <v>361</v>
      </c>
      <c r="X19" s="84">
        <v>0</v>
      </c>
      <c r="Y19" s="84">
        <v>0</v>
      </c>
      <c r="Z19" s="84">
        <v>0</v>
      </c>
      <c r="AA19" s="84">
        <v>0</v>
      </c>
      <c r="AB19" s="84"/>
    </row>
    <row r="20" spans="2:28" x14ac:dyDescent="0.3">
      <c r="B20" s="84" t="s">
        <v>362</v>
      </c>
      <c r="C20" s="84">
        <v>0</v>
      </c>
      <c r="D20" s="84">
        <v>0</v>
      </c>
      <c r="E20" s="84">
        <v>0</v>
      </c>
      <c r="F20" s="84">
        <v>0</v>
      </c>
      <c r="G20" s="84"/>
      <c r="I20" s="84" t="s">
        <v>362</v>
      </c>
      <c r="J20" s="84">
        <v>0</v>
      </c>
      <c r="K20" s="84">
        <v>0</v>
      </c>
      <c r="L20" s="84">
        <v>0</v>
      </c>
      <c r="M20" s="84">
        <v>0</v>
      </c>
      <c r="N20" s="84"/>
      <c r="P20" s="84" t="s">
        <v>362</v>
      </c>
      <c r="Q20" s="84">
        <v>0</v>
      </c>
      <c r="R20" s="84">
        <v>0</v>
      </c>
      <c r="S20" s="84">
        <v>0</v>
      </c>
      <c r="T20" s="84">
        <v>0</v>
      </c>
      <c r="U20" s="84"/>
      <c r="W20" s="84" t="s">
        <v>362</v>
      </c>
      <c r="X20" s="84">
        <v>0</v>
      </c>
      <c r="Y20" s="84">
        <v>0</v>
      </c>
      <c r="Z20" s="84">
        <v>0</v>
      </c>
      <c r="AA20" s="84">
        <v>0</v>
      </c>
      <c r="AB20" s="84"/>
    </row>
    <row r="21" spans="2:28" x14ac:dyDescent="0.3">
      <c r="B21" s="84" t="s">
        <v>363</v>
      </c>
      <c r="C21" s="84">
        <v>0</v>
      </c>
      <c r="D21" s="84">
        <v>0</v>
      </c>
      <c r="E21" s="84">
        <v>0</v>
      </c>
      <c r="F21" s="84">
        <v>0</v>
      </c>
      <c r="G21" s="84"/>
      <c r="I21" s="84" t="s">
        <v>363</v>
      </c>
      <c r="J21" s="84">
        <v>0</v>
      </c>
      <c r="K21" s="84">
        <v>0</v>
      </c>
      <c r="L21" s="84">
        <v>0</v>
      </c>
      <c r="M21" s="84">
        <v>0</v>
      </c>
      <c r="N21" s="84"/>
      <c r="P21" s="84" t="s">
        <v>363</v>
      </c>
      <c r="Q21" s="84">
        <v>0</v>
      </c>
      <c r="R21" s="84">
        <v>0</v>
      </c>
      <c r="S21" s="84">
        <v>0</v>
      </c>
      <c r="T21" s="84">
        <v>0</v>
      </c>
      <c r="U21" s="84"/>
      <c r="W21" s="84" t="s">
        <v>363</v>
      </c>
      <c r="X21" s="84">
        <v>0</v>
      </c>
      <c r="Y21" s="84">
        <v>0</v>
      </c>
      <c r="Z21" s="84">
        <v>0</v>
      </c>
      <c r="AA21" s="84">
        <v>0</v>
      </c>
      <c r="AB21" s="84"/>
    </row>
    <row r="22" spans="2:28" x14ac:dyDescent="0.3">
      <c r="B22" s="84" t="s">
        <v>364</v>
      </c>
      <c r="C22" s="84">
        <v>0</v>
      </c>
      <c r="D22" s="84">
        <v>0</v>
      </c>
      <c r="E22" s="84">
        <v>0</v>
      </c>
      <c r="F22" s="84">
        <v>0</v>
      </c>
      <c r="G22" s="84"/>
      <c r="I22" s="84" t="s">
        <v>364</v>
      </c>
      <c r="J22" s="84">
        <v>0</v>
      </c>
      <c r="K22" s="84">
        <v>0</v>
      </c>
      <c r="L22" s="84">
        <v>0</v>
      </c>
      <c r="M22" s="84">
        <v>0</v>
      </c>
      <c r="N22" s="84"/>
      <c r="P22" s="84" t="s">
        <v>364</v>
      </c>
      <c r="Q22" s="84">
        <v>0</v>
      </c>
      <c r="R22" s="84">
        <v>0</v>
      </c>
      <c r="S22" s="84">
        <v>0</v>
      </c>
      <c r="T22" s="84">
        <v>0</v>
      </c>
      <c r="U22" s="84"/>
      <c r="W22" s="84" t="s">
        <v>364</v>
      </c>
      <c r="X22" s="84">
        <v>0</v>
      </c>
      <c r="Y22" s="84">
        <v>0</v>
      </c>
      <c r="Z22" s="84">
        <v>0</v>
      </c>
      <c r="AA22" s="84">
        <v>0</v>
      </c>
      <c r="AB22" s="84"/>
    </row>
    <row r="23" spans="2:28" x14ac:dyDescent="0.3">
      <c r="B23" s="84" t="s">
        <v>365</v>
      </c>
      <c r="C23" s="84">
        <v>0</v>
      </c>
      <c r="D23" s="84">
        <v>0</v>
      </c>
      <c r="E23" s="84">
        <v>0</v>
      </c>
      <c r="F23" s="84">
        <v>0</v>
      </c>
      <c r="G23" s="84"/>
      <c r="I23" s="84" t="s">
        <v>365</v>
      </c>
      <c r="J23" s="84">
        <v>0</v>
      </c>
      <c r="K23" s="84">
        <v>0</v>
      </c>
      <c r="L23" s="84">
        <v>0</v>
      </c>
      <c r="M23" s="84">
        <v>0</v>
      </c>
      <c r="N23" s="84"/>
      <c r="P23" s="84" t="s">
        <v>365</v>
      </c>
      <c r="Q23" s="84">
        <v>0</v>
      </c>
      <c r="R23" s="84">
        <v>0</v>
      </c>
      <c r="S23" s="84">
        <v>0</v>
      </c>
      <c r="T23" s="84">
        <v>0</v>
      </c>
      <c r="U23" s="84"/>
      <c r="W23" s="84" t="s">
        <v>365</v>
      </c>
      <c r="X23" s="84">
        <v>0</v>
      </c>
      <c r="Y23" s="84">
        <v>0</v>
      </c>
      <c r="Z23" s="84">
        <v>0</v>
      </c>
      <c r="AA23" s="84">
        <v>0</v>
      </c>
      <c r="AB23" s="84"/>
    </row>
    <row r="24" spans="2:28" x14ac:dyDescent="0.3">
      <c r="B24" s="84" t="s">
        <v>366</v>
      </c>
      <c r="C24" s="84">
        <v>72623</v>
      </c>
      <c r="D24" s="84">
        <v>56580</v>
      </c>
      <c r="E24" s="84">
        <v>55737</v>
      </c>
      <c r="F24" s="84">
        <v>52961</v>
      </c>
      <c r="G24" s="84"/>
      <c r="I24" s="84" t="s">
        <v>366</v>
      </c>
      <c r="J24" s="84">
        <v>77465</v>
      </c>
      <c r="K24" s="84">
        <v>58793</v>
      </c>
      <c r="L24" s="84">
        <v>61920</v>
      </c>
      <c r="M24" s="84">
        <v>52536</v>
      </c>
      <c r="N24" s="84"/>
      <c r="P24" s="84" t="s">
        <v>366</v>
      </c>
      <c r="Q24" s="84">
        <v>69897</v>
      </c>
      <c r="R24" s="84">
        <v>65053</v>
      </c>
      <c r="S24" s="84">
        <v>56819</v>
      </c>
      <c r="T24" s="84">
        <v>57957</v>
      </c>
      <c r="U24" s="84"/>
      <c r="W24" s="84" t="s">
        <v>366</v>
      </c>
      <c r="X24" s="84">
        <v>63853</v>
      </c>
      <c r="Y24" s="84">
        <v>53365</v>
      </c>
      <c r="Z24" s="84">
        <v>53126</v>
      </c>
      <c r="AA24" s="84">
        <v>57341</v>
      </c>
      <c r="AB24" s="84"/>
    </row>
    <row r="25" spans="2:28" x14ac:dyDescent="0.3">
      <c r="B25" s="84" t="s">
        <v>367</v>
      </c>
      <c r="C25" s="84">
        <v>0</v>
      </c>
      <c r="D25" s="84">
        <v>0</v>
      </c>
      <c r="E25" s="84">
        <v>0</v>
      </c>
      <c r="F25" s="84">
        <v>0</v>
      </c>
      <c r="G25" s="84"/>
      <c r="I25" s="84" t="s">
        <v>367</v>
      </c>
      <c r="J25" s="84">
        <v>0</v>
      </c>
      <c r="K25" s="84">
        <v>0</v>
      </c>
      <c r="L25" s="84">
        <v>0</v>
      </c>
      <c r="M25" s="84">
        <v>0</v>
      </c>
      <c r="N25" s="84"/>
      <c r="P25" s="84" t="s">
        <v>367</v>
      </c>
      <c r="Q25" s="84">
        <v>0</v>
      </c>
      <c r="R25" s="84">
        <v>0</v>
      </c>
      <c r="S25" s="84">
        <v>0</v>
      </c>
      <c r="T25" s="84">
        <v>0</v>
      </c>
      <c r="U25" s="84"/>
      <c r="W25" s="84" t="s">
        <v>367</v>
      </c>
      <c r="X25" s="84">
        <v>0</v>
      </c>
      <c r="Y25" s="84">
        <v>0</v>
      </c>
      <c r="Z25" s="84">
        <v>0</v>
      </c>
      <c r="AA25" s="84">
        <v>0</v>
      </c>
      <c r="AB25" s="84"/>
    </row>
    <row r="26" spans="2:28" x14ac:dyDescent="0.3">
      <c r="B26" s="84" t="s">
        <v>368</v>
      </c>
      <c r="C26" s="84">
        <v>0</v>
      </c>
      <c r="D26" s="84">
        <v>0</v>
      </c>
      <c r="E26" s="84">
        <v>0</v>
      </c>
      <c r="F26" s="84">
        <v>0</v>
      </c>
      <c r="G26" s="84"/>
      <c r="I26" s="84" t="s">
        <v>368</v>
      </c>
      <c r="J26" s="84">
        <v>0</v>
      </c>
      <c r="K26" s="84">
        <v>0</v>
      </c>
      <c r="L26" s="84">
        <v>0</v>
      </c>
      <c r="M26" s="84">
        <v>0</v>
      </c>
      <c r="N26" s="84"/>
      <c r="P26" s="84" t="s">
        <v>368</v>
      </c>
      <c r="Q26" s="84">
        <v>0</v>
      </c>
      <c r="R26" s="84">
        <v>0</v>
      </c>
      <c r="S26" s="84">
        <v>0</v>
      </c>
      <c r="T26" s="84">
        <v>0</v>
      </c>
      <c r="U26" s="84"/>
      <c r="W26" s="84" t="s">
        <v>368</v>
      </c>
      <c r="X26" s="84">
        <v>0</v>
      </c>
      <c r="Y26" s="84">
        <v>0</v>
      </c>
      <c r="Z26" s="84">
        <v>0</v>
      </c>
      <c r="AA26" s="84">
        <v>0</v>
      </c>
      <c r="AB26" s="84"/>
    </row>
    <row r="27" spans="2:28" x14ac:dyDescent="0.3">
      <c r="B27" s="84" t="s">
        <v>369</v>
      </c>
      <c r="C27" s="84">
        <v>0</v>
      </c>
      <c r="D27" s="84">
        <v>0</v>
      </c>
      <c r="E27" s="84">
        <v>0</v>
      </c>
      <c r="F27" s="84">
        <v>0</v>
      </c>
      <c r="G27" s="84"/>
      <c r="I27" s="84" t="s">
        <v>369</v>
      </c>
      <c r="J27" s="84">
        <v>0</v>
      </c>
      <c r="K27" s="84">
        <v>0</v>
      </c>
      <c r="L27" s="84">
        <v>0</v>
      </c>
      <c r="M27" s="84">
        <v>0</v>
      </c>
      <c r="N27" s="84"/>
      <c r="P27" s="84" t="s">
        <v>369</v>
      </c>
      <c r="Q27" s="84">
        <v>0</v>
      </c>
      <c r="R27" s="84">
        <v>0</v>
      </c>
      <c r="S27" s="84">
        <v>0</v>
      </c>
      <c r="T27" s="84">
        <v>0</v>
      </c>
      <c r="U27" s="84"/>
      <c r="W27" s="84" t="s">
        <v>369</v>
      </c>
      <c r="X27" s="84">
        <v>0</v>
      </c>
      <c r="Y27" s="84">
        <v>0</v>
      </c>
      <c r="Z27" s="84">
        <v>0</v>
      </c>
      <c r="AA27" s="84">
        <v>0</v>
      </c>
      <c r="AB27" s="84"/>
    </row>
    <row r="28" spans="2:28" x14ac:dyDescent="0.3">
      <c r="B28" s="84" t="s">
        <v>370</v>
      </c>
      <c r="C28" s="84">
        <v>62761</v>
      </c>
      <c r="D28" s="84">
        <v>43542</v>
      </c>
      <c r="E28" s="84">
        <v>35838</v>
      </c>
      <c r="F28" s="84">
        <v>26444</v>
      </c>
      <c r="G28" s="84"/>
      <c r="I28" s="84" t="s">
        <v>370</v>
      </c>
      <c r="J28" s="84">
        <v>62540</v>
      </c>
      <c r="K28" s="84">
        <v>57871</v>
      </c>
      <c r="L28" s="84">
        <v>41403</v>
      </c>
      <c r="M28" s="84">
        <v>35494</v>
      </c>
      <c r="N28" s="84"/>
      <c r="P28" s="84" t="s">
        <v>370</v>
      </c>
      <c r="Q28" s="84">
        <v>54552</v>
      </c>
      <c r="R28" s="84">
        <v>24070</v>
      </c>
      <c r="S28" s="84">
        <v>35489</v>
      </c>
      <c r="T28" s="84">
        <v>24797</v>
      </c>
      <c r="U28" s="84"/>
      <c r="W28" s="84" t="s">
        <v>370</v>
      </c>
      <c r="X28" s="84">
        <v>50395</v>
      </c>
      <c r="Y28" s="84">
        <v>21018</v>
      </c>
      <c r="Z28" s="84">
        <v>35627</v>
      </c>
      <c r="AA28" s="84">
        <v>28548</v>
      </c>
      <c r="AB28" s="84"/>
    </row>
    <row r="29" spans="2:28" x14ac:dyDescent="0.3">
      <c r="B29" s="84" t="s">
        <v>371</v>
      </c>
      <c r="C29" s="84">
        <v>204173</v>
      </c>
      <c r="D29" s="84">
        <v>175004</v>
      </c>
      <c r="E29" s="84">
        <v>196535</v>
      </c>
      <c r="F29" s="84">
        <v>167434</v>
      </c>
      <c r="G29" s="84"/>
      <c r="I29" s="84" t="s">
        <v>371</v>
      </c>
      <c r="J29" s="84">
        <v>205178</v>
      </c>
      <c r="K29" s="84">
        <v>178276</v>
      </c>
      <c r="L29" s="84">
        <v>174434</v>
      </c>
      <c r="M29" s="84">
        <v>167244</v>
      </c>
      <c r="N29" s="84"/>
      <c r="P29" s="84" t="s">
        <v>371</v>
      </c>
      <c r="Q29" s="84">
        <v>184446</v>
      </c>
      <c r="R29" s="84">
        <v>184392</v>
      </c>
      <c r="S29" s="84">
        <v>179863</v>
      </c>
      <c r="T29" s="84">
        <v>149392</v>
      </c>
      <c r="U29" s="84"/>
      <c r="W29" s="84" t="s">
        <v>371</v>
      </c>
      <c r="X29" s="84">
        <v>206673</v>
      </c>
      <c r="Y29" s="84">
        <v>174540</v>
      </c>
      <c r="Z29" s="84">
        <v>198183</v>
      </c>
      <c r="AA29" s="84">
        <v>168315</v>
      </c>
      <c r="AB29" s="84"/>
    </row>
    <row r="30" spans="2:28" x14ac:dyDescent="0.3">
      <c r="B30" s="84" t="s">
        <v>372</v>
      </c>
      <c r="C30" s="84">
        <v>0</v>
      </c>
      <c r="D30" s="84">
        <v>0</v>
      </c>
      <c r="E30" s="84">
        <v>0</v>
      </c>
      <c r="F30" s="84">
        <v>0</v>
      </c>
      <c r="G30" s="84"/>
      <c r="I30" s="84" t="s">
        <v>372</v>
      </c>
      <c r="J30" s="84">
        <v>0</v>
      </c>
      <c r="K30" s="84">
        <v>0</v>
      </c>
      <c r="L30" s="84">
        <v>0</v>
      </c>
      <c r="M30" s="84">
        <v>0</v>
      </c>
      <c r="N30" s="84"/>
      <c r="P30" s="84" t="s">
        <v>372</v>
      </c>
      <c r="Q30" s="84">
        <v>0</v>
      </c>
      <c r="R30" s="84">
        <v>0</v>
      </c>
      <c r="S30" s="84">
        <v>0</v>
      </c>
      <c r="T30" s="84">
        <v>0</v>
      </c>
      <c r="U30" s="84"/>
      <c r="W30" s="84" t="s">
        <v>372</v>
      </c>
      <c r="X30" s="84">
        <v>0</v>
      </c>
      <c r="Y30" s="84">
        <v>0</v>
      </c>
      <c r="Z30" s="84">
        <v>0</v>
      </c>
      <c r="AA30" s="84">
        <v>0</v>
      </c>
      <c r="AB30" s="84"/>
    </row>
    <row r="31" spans="2:28" x14ac:dyDescent="0.3">
      <c r="B31" s="84" t="s">
        <v>373</v>
      </c>
      <c r="C31" s="84">
        <v>22450</v>
      </c>
      <c r="D31" s="84">
        <v>22450</v>
      </c>
      <c r="E31" s="84">
        <v>0</v>
      </c>
      <c r="F31" s="84">
        <v>0</v>
      </c>
      <c r="G31" s="84"/>
      <c r="I31" s="84" t="s">
        <v>373</v>
      </c>
      <c r="J31" s="84">
        <v>22450</v>
      </c>
      <c r="K31" s="84">
        <v>22450</v>
      </c>
      <c r="L31" s="84">
        <v>0</v>
      </c>
      <c r="M31" s="84">
        <v>0</v>
      </c>
      <c r="N31" s="84"/>
      <c r="P31" s="84" t="s">
        <v>373</v>
      </c>
      <c r="Q31" s="84">
        <v>22450</v>
      </c>
      <c r="R31" s="84">
        <v>0</v>
      </c>
      <c r="S31" s="84">
        <v>0</v>
      </c>
      <c r="T31" s="84">
        <v>0</v>
      </c>
      <c r="U31" s="84"/>
      <c r="W31" s="84" t="s">
        <v>373</v>
      </c>
      <c r="X31" s="84">
        <v>22450</v>
      </c>
      <c r="Y31" s="84">
        <v>22450</v>
      </c>
      <c r="Z31" s="84">
        <v>0</v>
      </c>
      <c r="AA31" s="84">
        <v>0</v>
      </c>
      <c r="AB31" s="84"/>
    </row>
    <row r="32" spans="2:28" x14ac:dyDescent="0.3">
      <c r="B32" s="84" t="s">
        <v>374</v>
      </c>
      <c r="C32" s="84">
        <v>0</v>
      </c>
      <c r="D32" s="84">
        <v>0</v>
      </c>
      <c r="E32" s="84">
        <v>0</v>
      </c>
      <c r="F32" s="84">
        <v>0</v>
      </c>
      <c r="G32" s="84"/>
      <c r="I32" s="84" t="s">
        <v>374</v>
      </c>
      <c r="J32" s="84">
        <v>0</v>
      </c>
      <c r="K32" s="84">
        <v>0</v>
      </c>
      <c r="L32" s="84">
        <v>0</v>
      </c>
      <c r="M32" s="84">
        <v>0</v>
      </c>
      <c r="N32" s="84"/>
      <c r="P32" s="84" t="s">
        <v>374</v>
      </c>
      <c r="Q32" s="84">
        <v>0</v>
      </c>
      <c r="R32" s="84">
        <v>0</v>
      </c>
      <c r="S32" s="84">
        <v>0</v>
      </c>
      <c r="T32" s="84">
        <v>0</v>
      </c>
      <c r="U32" s="84"/>
      <c r="W32" s="84" t="s">
        <v>374</v>
      </c>
      <c r="X32" s="84">
        <v>0</v>
      </c>
      <c r="Y32" s="84">
        <v>0</v>
      </c>
      <c r="Z32" s="84">
        <v>0</v>
      </c>
      <c r="AA32" s="84">
        <v>0</v>
      </c>
      <c r="AB32" s="84"/>
    </row>
    <row r="33" spans="2:28" x14ac:dyDescent="0.3">
      <c r="B33" s="84" t="s">
        <v>375</v>
      </c>
      <c r="C33" s="84">
        <v>0</v>
      </c>
      <c r="D33" s="84">
        <v>0</v>
      </c>
      <c r="E33" s="84">
        <v>0</v>
      </c>
      <c r="F33" s="84">
        <v>0</v>
      </c>
      <c r="G33" s="84"/>
      <c r="I33" s="84" t="s">
        <v>375</v>
      </c>
      <c r="J33" s="84">
        <v>0</v>
      </c>
      <c r="K33" s="84">
        <v>0</v>
      </c>
      <c r="L33" s="84">
        <v>0</v>
      </c>
      <c r="M33" s="84">
        <v>0</v>
      </c>
      <c r="N33" s="84"/>
      <c r="P33" s="84" t="s">
        <v>375</v>
      </c>
      <c r="Q33" s="84">
        <v>0</v>
      </c>
      <c r="R33" s="84">
        <v>0</v>
      </c>
      <c r="S33" s="84">
        <v>0</v>
      </c>
      <c r="T33" s="84">
        <v>0</v>
      </c>
      <c r="U33" s="84"/>
      <c r="W33" s="84" t="s">
        <v>375</v>
      </c>
      <c r="X33" s="84">
        <v>0</v>
      </c>
      <c r="Y33" s="84">
        <v>0</v>
      </c>
      <c r="Z33" s="84">
        <v>0</v>
      </c>
      <c r="AA33" s="84">
        <v>0</v>
      </c>
      <c r="AB33" s="84"/>
    </row>
    <row r="34" spans="2:28" x14ac:dyDescent="0.3">
      <c r="B34" s="84" t="s">
        <v>376</v>
      </c>
      <c r="C34" s="84">
        <v>0</v>
      </c>
      <c r="D34" s="84">
        <v>0</v>
      </c>
      <c r="E34" s="84">
        <v>0</v>
      </c>
      <c r="F34" s="84">
        <v>0</v>
      </c>
      <c r="G34" s="84"/>
      <c r="I34" s="84" t="s">
        <v>376</v>
      </c>
      <c r="J34" s="84">
        <v>0</v>
      </c>
      <c r="K34" s="84">
        <v>0</v>
      </c>
      <c r="L34" s="84">
        <v>22450</v>
      </c>
      <c r="M34" s="84">
        <v>0</v>
      </c>
      <c r="N34" s="84"/>
      <c r="P34" s="84" t="s">
        <v>376</v>
      </c>
      <c r="Q34" s="84">
        <v>0</v>
      </c>
      <c r="R34" s="84">
        <v>22450</v>
      </c>
      <c r="S34" s="84">
        <v>0</v>
      </c>
      <c r="T34" s="84">
        <v>0</v>
      </c>
      <c r="U34" s="84"/>
      <c r="W34" s="84" t="s">
        <v>376</v>
      </c>
      <c r="X34" s="84">
        <v>0</v>
      </c>
      <c r="Y34" s="84">
        <v>0</v>
      </c>
      <c r="Z34" s="84">
        <v>0</v>
      </c>
      <c r="AA34" s="84">
        <v>0</v>
      </c>
      <c r="AB34" s="84"/>
    </row>
    <row r="35" spans="2:28" x14ac:dyDescent="0.3">
      <c r="B35" s="84" t="s">
        <v>377</v>
      </c>
      <c r="C35" s="84">
        <v>0</v>
      </c>
      <c r="D35" s="84">
        <v>0</v>
      </c>
      <c r="E35" s="84">
        <v>0</v>
      </c>
      <c r="F35" s="84">
        <v>0</v>
      </c>
      <c r="G35" s="84"/>
      <c r="I35" s="84" t="s">
        <v>377</v>
      </c>
      <c r="J35" s="84">
        <v>0</v>
      </c>
      <c r="K35" s="84">
        <v>0</v>
      </c>
      <c r="L35" s="84">
        <v>0</v>
      </c>
      <c r="M35" s="84">
        <v>0</v>
      </c>
      <c r="N35" s="84"/>
      <c r="P35" s="84" t="s">
        <v>377</v>
      </c>
      <c r="Q35" s="84">
        <v>0</v>
      </c>
      <c r="R35" s="84">
        <v>0</v>
      </c>
      <c r="S35" s="84">
        <v>0</v>
      </c>
      <c r="T35" s="84">
        <v>0</v>
      </c>
      <c r="U35" s="84"/>
      <c r="W35" s="84" t="s">
        <v>377</v>
      </c>
      <c r="X35" s="84">
        <v>0</v>
      </c>
      <c r="Y35" s="84">
        <v>0</v>
      </c>
      <c r="Z35" s="84">
        <v>0</v>
      </c>
      <c r="AA35" s="84">
        <v>0</v>
      </c>
      <c r="AB35" s="84"/>
    </row>
    <row r="36" spans="2:28" x14ac:dyDescent="0.3">
      <c r="B36" s="84" t="s">
        <v>378</v>
      </c>
      <c r="C36" s="84">
        <v>0</v>
      </c>
      <c r="D36" s="84">
        <v>0</v>
      </c>
      <c r="E36" s="84">
        <v>0</v>
      </c>
      <c r="F36" s="84">
        <v>0</v>
      </c>
      <c r="G36" s="84"/>
      <c r="I36" s="84" t="s">
        <v>378</v>
      </c>
      <c r="J36" s="84">
        <v>0</v>
      </c>
      <c r="K36" s="84">
        <v>0</v>
      </c>
      <c r="L36" s="84">
        <v>0</v>
      </c>
      <c r="M36" s="84">
        <v>0</v>
      </c>
      <c r="N36" s="84"/>
      <c r="P36" s="84" t="s">
        <v>378</v>
      </c>
      <c r="Q36" s="84">
        <v>0</v>
      </c>
      <c r="R36" s="84">
        <v>0</v>
      </c>
      <c r="S36" s="84">
        <v>0</v>
      </c>
      <c r="T36" s="84">
        <v>0</v>
      </c>
      <c r="U36" s="84"/>
      <c r="W36" s="84" t="s">
        <v>378</v>
      </c>
      <c r="X36" s="84">
        <v>0</v>
      </c>
      <c r="Y36" s="84">
        <v>0</v>
      </c>
      <c r="Z36" s="84">
        <v>0</v>
      </c>
      <c r="AA36" s="84">
        <v>0</v>
      </c>
      <c r="AB36" s="84"/>
    </row>
    <row r="37" spans="2:28" x14ac:dyDescent="0.3">
      <c r="B37" s="84" t="s">
        <v>379</v>
      </c>
      <c r="C37" s="84">
        <v>0</v>
      </c>
      <c r="D37" s="84">
        <v>0</v>
      </c>
      <c r="E37" s="84">
        <v>0</v>
      </c>
      <c r="F37" s="84">
        <v>0</v>
      </c>
      <c r="G37" s="84"/>
      <c r="I37" s="84" t="s">
        <v>379</v>
      </c>
      <c r="J37" s="84">
        <v>78713</v>
      </c>
      <c r="K37" s="84">
        <v>75635</v>
      </c>
      <c r="L37" s="84">
        <v>69367</v>
      </c>
      <c r="M37" s="84">
        <v>58717</v>
      </c>
      <c r="N37" s="84"/>
      <c r="P37" s="84" t="s">
        <v>379</v>
      </c>
      <c r="Q37" s="84">
        <v>0</v>
      </c>
      <c r="R37" s="84">
        <v>0</v>
      </c>
      <c r="S37" s="84">
        <v>0</v>
      </c>
      <c r="T37" s="84">
        <v>0</v>
      </c>
      <c r="U37" s="84"/>
      <c r="W37" s="84" t="s">
        <v>379</v>
      </c>
      <c r="X37" s="84">
        <v>77311</v>
      </c>
      <c r="Y37" s="84">
        <v>70044</v>
      </c>
      <c r="Z37" s="84">
        <v>60116</v>
      </c>
      <c r="AA37" s="84">
        <v>58194</v>
      </c>
      <c r="AB37" s="84"/>
    </row>
    <row r="38" spans="2:28" x14ac:dyDescent="0.3">
      <c r="B38" s="84" t="s">
        <v>380</v>
      </c>
      <c r="C38" s="84">
        <v>0</v>
      </c>
      <c r="D38" s="84">
        <v>0</v>
      </c>
      <c r="E38" s="84">
        <v>0</v>
      </c>
      <c r="F38" s="84">
        <v>0</v>
      </c>
      <c r="G38" s="84"/>
      <c r="I38" s="84" t="s">
        <v>380</v>
      </c>
      <c r="J38" s="84">
        <v>26222</v>
      </c>
      <c r="K38" s="84">
        <v>22540</v>
      </c>
      <c r="L38" s="84">
        <v>18666</v>
      </c>
      <c r="M38" s="84">
        <v>15259</v>
      </c>
      <c r="N38" s="84"/>
      <c r="P38" s="84" t="s">
        <v>380</v>
      </c>
      <c r="Q38" s="84">
        <v>0</v>
      </c>
      <c r="R38" s="84">
        <v>0</v>
      </c>
      <c r="S38" s="84">
        <v>0</v>
      </c>
      <c r="T38" s="84">
        <v>0</v>
      </c>
      <c r="U38" s="84"/>
      <c r="W38" s="84" t="s">
        <v>380</v>
      </c>
      <c r="X38" s="84">
        <v>24308</v>
      </c>
      <c r="Y38" s="84">
        <v>20510</v>
      </c>
      <c r="Z38" s="84">
        <v>16871</v>
      </c>
      <c r="AA38" s="84">
        <v>13458</v>
      </c>
      <c r="AB38" s="84"/>
    </row>
    <row r="39" spans="2:28" x14ac:dyDescent="0.3">
      <c r="B39" s="84" t="s">
        <v>381</v>
      </c>
      <c r="C39" s="84">
        <v>0</v>
      </c>
      <c r="D39" s="84">
        <v>0</v>
      </c>
      <c r="E39" s="84">
        <v>0</v>
      </c>
      <c r="F39" s="84">
        <v>0</v>
      </c>
      <c r="G39" s="84"/>
      <c r="I39" s="84" t="s">
        <v>381</v>
      </c>
      <c r="J39" s="84">
        <v>52491</v>
      </c>
      <c r="K39" s="84">
        <v>53095</v>
      </c>
      <c r="L39" s="84">
        <v>50701</v>
      </c>
      <c r="M39" s="84">
        <v>43458</v>
      </c>
      <c r="N39" s="84"/>
      <c r="P39" s="84" t="s">
        <v>381</v>
      </c>
      <c r="Q39" s="84">
        <v>0</v>
      </c>
      <c r="R39" s="84">
        <v>0</v>
      </c>
      <c r="S39" s="84">
        <v>0</v>
      </c>
      <c r="T39" s="84">
        <v>0</v>
      </c>
      <c r="U39" s="84"/>
      <c r="W39" s="84" t="s">
        <v>381</v>
      </c>
      <c r="X39" s="84">
        <v>53003</v>
      </c>
      <c r="Y39" s="84">
        <v>49534</v>
      </c>
      <c r="Z39" s="84">
        <v>43245</v>
      </c>
      <c r="AA39" s="84">
        <v>44736</v>
      </c>
      <c r="AB39" s="84"/>
    </row>
    <row r="40" spans="2:28" x14ac:dyDescent="0.3">
      <c r="B40" s="84" t="s">
        <v>382</v>
      </c>
      <c r="C40" s="84">
        <v>0</v>
      </c>
      <c r="D40" s="84">
        <v>0</v>
      </c>
      <c r="E40" s="84">
        <v>0</v>
      </c>
      <c r="F40" s="84">
        <v>0</v>
      </c>
      <c r="G40" s="84"/>
      <c r="I40" s="84" t="s">
        <v>382</v>
      </c>
      <c r="J40" s="84">
        <v>0</v>
      </c>
      <c r="K40" s="84">
        <v>0</v>
      </c>
      <c r="L40" s="84">
        <v>0</v>
      </c>
      <c r="M40" s="84">
        <v>0</v>
      </c>
      <c r="N40" s="84"/>
      <c r="P40" s="84" t="s">
        <v>382</v>
      </c>
      <c r="Q40" s="84">
        <v>0</v>
      </c>
      <c r="R40" s="84">
        <v>0</v>
      </c>
      <c r="S40" s="84">
        <v>0</v>
      </c>
      <c r="T40" s="84">
        <v>0</v>
      </c>
      <c r="U40" s="84"/>
      <c r="W40" s="84" t="s">
        <v>382</v>
      </c>
      <c r="X40" s="84">
        <v>0</v>
      </c>
      <c r="Y40" s="84">
        <v>0</v>
      </c>
      <c r="Z40" s="84">
        <v>0</v>
      </c>
      <c r="AA40" s="84">
        <v>0</v>
      </c>
      <c r="AB40" s="84"/>
    </row>
    <row r="41" spans="2:28" x14ac:dyDescent="0.3">
      <c r="B41" s="84" t="s">
        <v>383</v>
      </c>
      <c r="C41" s="84">
        <v>52022</v>
      </c>
      <c r="D41" s="84">
        <v>48820</v>
      </c>
      <c r="E41" s="84">
        <v>42975</v>
      </c>
      <c r="F41" s="84">
        <v>43993</v>
      </c>
      <c r="G41" s="84"/>
      <c r="I41" s="84" t="s">
        <v>383</v>
      </c>
      <c r="J41" s="84">
        <v>52491</v>
      </c>
      <c r="K41" s="84">
        <v>53095</v>
      </c>
      <c r="L41" s="84">
        <v>50701</v>
      </c>
      <c r="M41" s="84">
        <v>43458</v>
      </c>
      <c r="N41" s="84"/>
      <c r="P41" s="84" t="s">
        <v>383</v>
      </c>
      <c r="Q41" s="84">
        <v>52491</v>
      </c>
      <c r="R41" s="84">
        <v>50290</v>
      </c>
      <c r="S41" s="84">
        <v>42712</v>
      </c>
      <c r="T41" s="84">
        <v>36899</v>
      </c>
      <c r="U41" s="84"/>
      <c r="W41" s="84" t="s">
        <v>383</v>
      </c>
      <c r="X41" s="84">
        <v>53003</v>
      </c>
      <c r="Y41" s="84">
        <v>49534</v>
      </c>
      <c r="Z41" s="84">
        <v>43245</v>
      </c>
      <c r="AA41" s="84">
        <v>44736</v>
      </c>
      <c r="AB41" s="84"/>
    </row>
    <row r="42" spans="2:28" x14ac:dyDescent="0.3">
      <c r="B42" s="84" t="s">
        <v>384</v>
      </c>
      <c r="C42" s="84">
        <v>38892</v>
      </c>
      <c r="D42" s="84">
        <v>23874</v>
      </c>
      <c r="E42" s="84">
        <v>27827</v>
      </c>
      <c r="F42" s="84">
        <v>15699</v>
      </c>
      <c r="G42" s="84"/>
      <c r="I42" s="84" t="s">
        <v>384</v>
      </c>
      <c r="J42" s="84">
        <v>39652</v>
      </c>
      <c r="K42" s="84">
        <v>24740</v>
      </c>
      <c r="L42" s="84">
        <v>21831</v>
      </c>
      <c r="M42" s="84">
        <v>18906</v>
      </c>
      <c r="N42" s="84"/>
      <c r="P42" s="84" t="s">
        <v>384</v>
      </c>
      <c r="Q42" s="84">
        <v>25640</v>
      </c>
      <c r="R42" s="84">
        <v>22088</v>
      </c>
      <c r="S42" s="84">
        <v>20760</v>
      </c>
      <c r="T42" s="84">
        <v>18933</v>
      </c>
      <c r="U42" s="84"/>
      <c r="W42" s="84" t="s">
        <v>384</v>
      </c>
      <c r="X42" s="84">
        <v>37398</v>
      </c>
      <c r="Y42" s="84">
        <v>22424</v>
      </c>
      <c r="Z42" s="84">
        <v>24205</v>
      </c>
      <c r="AA42" s="84">
        <v>13692</v>
      </c>
      <c r="AB42" s="84"/>
    </row>
    <row r="43" spans="2:28" x14ac:dyDescent="0.3">
      <c r="B43" s="84" t="s">
        <v>385</v>
      </c>
      <c r="C43" s="84">
        <v>0</v>
      </c>
      <c r="D43" s="84">
        <v>0</v>
      </c>
      <c r="E43" s="84">
        <v>0</v>
      </c>
      <c r="F43" s="84">
        <v>0</v>
      </c>
      <c r="G43" s="84"/>
      <c r="I43" s="84" t="s">
        <v>385</v>
      </c>
      <c r="J43" s="84">
        <v>0</v>
      </c>
      <c r="K43" s="84">
        <v>0</v>
      </c>
      <c r="L43" s="84">
        <v>0</v>
      </c>
      <c r="M43" s="84">
        <v>0</v>
      </c>
      <c r="N43" s="84"/>
      <c r="P43" s="84" t="s">
        <v>385</v>
      </c>
      <c r="Q43" s="84">
        <v>0</v>
      </c>
      <c r="R43" s="84">
        <v>0</v>
      </c>
      <c r="S43" s="84">
        <v>0</v>
      </c>
      <c r="T43" s="84">
        <v>0</v>
      </c>
      <c r="U43" s="84"/>
      <c r="W43" s="84" t="s">
        <v>385</v>
      </c>
      <c r="X43" s="84">
        <v>0</v>
      </c>
      <c r="Y43" s="84">
        <v>0</v>
      </c>
      <c r="Z43" s="84">
        <v>0</v>
      </c>
      <c r="AA43" s="84">
        <v>0</v>
      </c>
      <c r="AB43" s="84"/>
    </row>
    <row r="44" spans="2:28" x14ac:dyDescent="0.3">
      <c r="B44" s="84" t="s">
        <v>386</v>
      </c>
      <c r="C44" s="84">
        <v>0</v>
      </c>
      <c r="D44" s="84">
        <v>0</v>
      </c>
      <c r="E44" s="84">
        <v>0</v>
      </c>
      <c r="F44" s="84">
        <v>0</v>
      </c>
      <c r="G44" s="84"/>
      <c r="I44" s="84" t="s">
        <v>386</v>
      </c>
      <c r="J44" s="84">
        <v>0</v>
      </c>
      <c r="K44" s="84">
        <v>0</v>
      </c>
      <c r="L44" s="84">
        <v>0</v>
      </c>
      <c r="M44" s="84">
        <v>0</v>
      </c>
      <c r="N44" s="84"/>
      <c r="P44" s="84" t="s">
        <v>386</v>
      </c>
      <c r="Q44" s="84">
        <v>0</v>
      </c>
      <c r="R44" s="84">
        <v>0</v>
      </c>
      <c r="S44" s="84">
        <v>0</v>
      </c>
      <c r="T44" s="84">
        <v>0</v>
      </c>
      <c r="U44" s="84"/>
      <c r="W44" s="84" t="s">
        <v>386</v>
      </c>
      <c r="X44" s="84">
        <v>0</v>
      </c>
      <c r="Y44" s="84">
        <v>0</v>
      </c>
      <c r="Z44" s="84">
        <v>0</v>
      </c>
      <c r="AA44" s="84">
        <v>0</v>
      </c>
      <c r="AB44" s="84"/>
    </row>
    <row r="45" spans="2:28" x14ac:dyDescent="0.3">
      <c r="B45" s="84" t="s">
        <v>387</v>
      </c>
      <c r="C45" s="84">
        <v>0</v>
      </c>
      <c r="D45" s="84">
        <v>0</v>
      </c>
      <c r="E45" s="84">
        <v>0</v>
      </c>
      <c r="F45" s="84">
        <v>0</v>
      </c>
      <c r="G45" s="84"/>
      <c r="I45" s="84" t="s">
        <v>387</v>
      </c>
      <c r="J45" s="84">
        <v>0</v>
      </c>
      <c r="K45" s="84">
        <v>0</v>
      </c>
      <c r="L45" s="84">
        <v>0</v>
      </c>
      <c r="M45" s="84">
        <v>0</v>
      </c>
      <c r="N45" s="84"/>
      <c r="P45" s="84" t="s">
        <v>387</v>
      </c>
      <c r="Q45" s="84">
        <v>0</v>
      </c>
      <c r="R45" s="84">
        <v>0</v>
      </c>
      <c r="S45" s="84">
        <v>0</v>
      </c>
      <c r="T45" s="84">
        <v>0</v>
      </c>
      <c r="U45" s="84"/>
      <c r="W45" s="84" t="s">
        <v>387</v>
      </c>
      <c r="X45" s="84">
        <v>0</v>
      </c>
      <c r="Y45" s="84">
        <v>0</v>
      </c>
      <c r="Z45" s="84">
        <v>0</v>
      </c>
      <c r="AA45" s="84">
        <v>0</v>
      </c>
      <c r="AB45" s="84"/>
    </row>
    <row r="46" spans="2:28" x14ac:dyDescent="0.3">
      <c r="B46" s="84" t="s">
        <v>388</v>
      </c>
      <c r="C46" s="84">
        <v>0</v>
      </c>
      <c r="D46" s="84">
        <v>0</v>
      </c>
      <c r="E46" s="84">
        <v>0</v>
      </c>
      <c r="F46" s="84">
        <v>0</v>
      </c>
      <c r="G46" s="84"/>
      <c r="I46" s="84" t="s">
        <v>388</v>
      </c>
      <c r="J46" s="84">
        <v>0</v>
      </c>
      <c r="K46" s="84">
        <v>0</v>
      </c>
      <c r="L46" s="84">
        <v>0</v>
      </c>
      <c r="M46" s="84">
        <v>0</v>
      </c>
      <c r="N46" s="84"/>
      <c r="P46" s="84" t="s">
        <v>388</v>
      </c>
      <c r="Q46" s="84">
        <v>0</v>
      </c>
      <c r="R46" s="84">
        <v>0</v>
      </c>
      <c r="S46" s="84">
        <v>0</v>
      </c>
      <c r="T46" s="84">
        <v>0</v>
      </c>
      <c r="U46" s="84"/>
      <c r="W46" s="84" t="s">
        <v>388</v>
      </c>
      <c r="X46" s="84">
        <v>0</v>
      </c>
      <c r="Y46" s="84">
        <v>0</v>
      </c>
      <c r="Z46" s="84">
        <v>0</v>
      </c>
      <c r="AA46" s="84">
        <v>0</v>
      </c>
      <c r="AB46" s="84"/>
    </row>
    <row r="47" spans="2:28" x14ac:dyDescent="0.3">
      <c r="B47" s="84" t="s">
        <v>389</v>
      </c>
      <c r="C47" s="84">
        <v>0</v>
      </c>
      <c r="D47" s="84">
        <v>0</v>
      </c>
      <c r="E47" s="84">
        <v>0</v>
      </c>
      <c r="F47" s="84">
        <v>0</v>
      </c>
      <c r="G47" s="84"/>
      <c r="I47" s="84" t="s">
        <v>389</v>
      </c>
      <c r="J47" s="84">
        <v>0</v>
      </c>
      <c r="K47" s="84">
        <v>0</v>
      </c>
      <c r="L47" s="84">
        <v>0</v>
      </c>
      <c r="M47" s="84">
        <v>0</v>
      </c>
      <c r="N47" s="84"/>
      <c r="P47" s="84" t="s">
        <v>389</v>
      </c>
      <c r="Q47" s="84">
        <v>0</v>
      </c>
      <c r="R47" s="84">
        <v>0</v>
      </c>
      <c r="S47" s="84">
        <v>0</v>
      </c>
      <c r="T47" s="84">
        <v>0</v>
      </c>
      <c r="U47" s="84"/>
      <c r="W47" s="84" t="s">
        <v>389</v>
      </c>
      <c r="X47" s="84">
        <v>0</v>
      </c>
      <c r="Y47" s="84">
        <v>0</v>
      </c>
      <c r="Z47" s="84">
        <v>0</v>
      </c>
      <c r="AA47" s="84">
        <v>0</v>
      </c>
      <c r="AB47" s="84"/>
    </row>
    <row r="48" spans="2:28" x14ac:dyDescent="0.3">
      <c r="B48" s="84" t="s">
        <v>390</v>
      </c>
      <c r="C48" s="84">
        <v>7109</v>
      </c>
      <c r="D48" s="84">
        <v>6932</v>
      </c>
      <c r="E48" s="84">
        <v>7149</v>
      </c>
      <c r="F48" s="84">
        <v>7508</v>
      </c>
      <c r="G48" s="84"/>
      <c r="I48" s="84" t="s">
        <v>390</v>
      </c>
      <c r="J48" s="84">
        <v>6942</v>
      </c>
      <c r="K48" s="84">
        <v>6889</v>
      </c>
      <c r="L48" s="84">
        <v>7059</v>
      </c>
      <c r="M48" s="84">
        <v>7418</v>
      </c>
      <c r="N48" s="84"/>
      <c r="P48" s="84" t="s">
        <v>390</v>
      </c>
      <c r="Q48" s="84">
        <v>6847</v>
      </c>
      <c r="R48" s="84">
        <v>7017</v>
      </c>
      <c r="S48" s="84">
        <v>7328</v>
      </c>
      <c r="T48" s="84">
        <v>7667</v>
      </c>
      <c r="U48" s="84"/>
      <c r="W48" s="84" t="s">
        <v>390</v>
      </c>
      <c r="X48" s="84">
        <v>7035</v>
      </c>
      <c r="Y48" s="84">
        <v>6974</v>
      </c>
      <c r="Z48" s="84">
        <v>7239</v>
      </c>
      <c r="AA48" s="84">
        <v>7598</v>
      </c>
      <c r="AB48" s="84"/>
    </row>
    <row r="49" spans="2:28" x14ac:dyDescent="0.3">
      <c r="B49" s="84" t="s">
        <v>391</v>
      </c>
      <c r="C49" s="84">
        <v>0</v>
      </c>
      <c r="D49" s="84">
        <v>0</v>
      </c>
      <c r="E49" s="84">
        <v>0</v>
      </c>
      <c r="F49" s="84">
        <v>0</v>
      </c>
      <c r="G49" s="84"/>
      <c r="I49" s="84" t="s">
        <v>391</v>
      </c>
      <c r="J49" s="84">
        <v>0</v>
      </c>
      <c r="K49" s="84">
        <v>0</v>
      </c>
      <c r="L49" s="84">
        <v>0</v>
      </c>
      <c r="M49" s="84">
        <v>0</v>
      </c>
      <c r="N49" s="84"/>
      <c r="P49" s="84" t="s">
        <v>391</v>
      </c>
      <c r="Q49" s="84">
        <v>0</v>
      </c>
      <c r="R49" s="84">
        <v>0</v>
      </c>
      <c r="S49" s="84">
        <v>0</v>
      </c>
      <c r="T49" s="84">
        <v>0</v>
      </c>
      <c r="U49" s="84"/>
      <c r="W49" s="84" t="s">
        <v>391</v>
      </c>
      <c r="X49" s="84">
        <v>0</v>
      </c>
      <c r="Y49" s="84">
        <v>0</v>
      </c>
      <c r="Z49" s="84">
        <v>0</v>
      </c>
      <c r="AA49" s="84">
        <v>0</v>
      </c>
      <c r="AB49" s="84"/>
    </row>
    <row r="50" spans="2:28" x14ac:dyDescent="0.3">
      <c r="B50" s="84" t="s">
        <v>392</v>
      </c>
      <c r="C50" s="84">
        <v>0</v>
      </c>
      <c r="D50" s="84">
        <v>0</v>
      </c>
      <c r="E50" s="84">
        <v>0</v>
      </c>
      <c r="F50" s="84">
        <v>0</v>
      </c>
      <c r="G50" s="84"/>
      <c r="I50" s="84" t="s">
        <v>392</v>
      </c>
      <c r="J50" s="84">
        <v>0</v>
      </c>
      <c r="K50" s="84">
        <v>0</v>
      </c>
      <c r="L50" s="84">
        <v>0</v>
      </c>
      <c r="M50" s="84">
        <v>0</v>
      </c>
      <c r="N50" s="84"/>
      <c r="P50" s="84" t="s">
        <v>392</v>
      </c>
      <c r="Q50" s="84">
        <v>0</v>
      </c>
      <c r="R50" s="84">
        <v>0</v>
      </c>
      <c r="S50" s="84">
        <v>0</v>
      </c>
      <c r="T50" s="84">
        <v>0</v>
      </c>
      <c r="U50" s="84"/>
      <c r="W50" s="84" t="s">
        <v>392</v>
      </c>
      <c r="X50" s="84">
        <v>0</v>
      </c>
      <c r="Y50" s="84">
        <v>0</v>
      </c>
      <c r="Z50" s="84">
        <v>0</v>
      </c>
      <c r="AA50" s="84">
        <v>0</v>
      </c>
      <c r="AB50" s="84"/>
    </row>
    <row r="51" spans="2:28" x14ac:dyDescent="0.3">
      <c r="B51" s="84" t="s">
        <v>393</v>
      </c>
      <c r="C51" s="84">
        <v>1378</v>
      </c>
      <c r="D51" s="84">
        <v>1174</v>
      </c>
      <c r="E51" s="84">
        <v>1125</v>
      </c>
      <c r="F51" s="84">
        <v>227</v>
      </c>
      <c r="G51" s="84"/>
      <c r="I51" s="84" t="s">
        <v>393</v>
      </c>
      <c r="J51" s="84">
        <v>1544</v>
      </c>
      <c r="K51" s="84">
        <v>1085</v>
      </c>
      <c r="L51" s="84">
        <v>1047</v>
      </c>
      <c r="M51" s="84">
        <v>196</v>
      </c>
      <c r="N51" s="84"/>
      <c r="P51" s="84" t="s">
        <v>393</v>
      </c>
      <c r="Q51" s="84">
        <v>1072</v>
      </c>
      <c r="R51" s="84">
        <v>969</v>
      </c>
      <c r="S51" s="84">
        <v>165</v>
      </c>
      <c r="T51" s="84">
        <v>0</v>
      </c>
      <c r="U51" s="84"/>
      <c r="W51" s="84" t="s">
        <v>393</v>
      </c>
      <c r="X51" s="84">
        <v>997</v>
      </c>
      <c r="Y51" s="84">
        <v>1263</v>
      </c>
      <c r="Z51" s="84">
        <v>1210</v>
      </c>
      <c r="AA51" s="84">
        <v>252</v>
      </c>
      <c r="AB51" s="84"/>
    </row>
    <row r="52" spans="2:28" x14ac:dyDescent="0.3">
      <c r="B52" s="84" t="s">
        <v>394</v>
      </c>
      <c r="C52" s="84">
        <v>0</v>
      </c>
      <c r="D52" s="84">
        <v>0</v>
      </c>
      <c r="E52" s="84">
        <v>0</v>
      </c>
      <c r="F52" s="84">
        <v>0</v>
      </c>
      <c r="G52" s="84"/>
      <c r="I52" s="84" t="s">
        <v>394</v>
      </c>
      <c r="J52" s="84">
        <v>0</v>
      </c>
      <c r="K52" s="84">
        <v>0</v>
      </c>
      <c r="L52" s="84">
        <v>0</v>
      </c>
      <c r="M52" s="84">
        <v>0</v>
      </c>
      <c r="N52" s="84"/>
      <c r="P52" s="84" t="s">
        <v>394</v>
      </c>
      <c r="Q52" s="84">
        <v>0</v>
      </c>
      <c r="R52" s="84">
        <v>0</v>
      </c>
      <c r="S52" s="84">
        <v>0</v>
      </c>
      <c r="T52" s="84">
        <v>0</v>
      </c>
      <c r="U52" s="84"/>
      <c r="W52" s="84" t="s">
        <v>394</v>
      </c>
      <c r="X52" s="84">
        <v>0</v>
      </c>
      <c r="Y52" s="84">
        <v>0</v>
      </c>
      <c r="Z52" s="84">
        <v>0</v>
      </c>
      <c r="AA52" s="84">
        <v>0</v>
      </c>
      <c r="AB52" s="84"/>
    </row>
    <row r="53" spans="2:28" x14ac:dyDescent="0.3">
      <c r="B53" s="84" t="s">
        <v>395</v>
      </c>
      <c r="C53" s="84">
        <v>7207</v>
      </c>
      <c r="D53" s="84">
        <v>5644</v>
      </c>
      <c r="E53" s="84">
        <v>4253</v>
      </c>
      <c r="F53" s="84">
        <v>3643</v>
      </c>
      <c r="G53" s="84"/>
      <c r="I53" s="84" t="s">
        <v>395</v>
      </c>
      <c r="J53" s="84">
        <v>7493</v>
      </c>
      <c r="K53" s="84">
        <v>5433</v>
      </c>
      <c r="L53" s="84">
        <v>4426</v>
      </c>
      <c r="M53" s="84">
        <v>3572</v>
      </c>
      <c r="N53" s="84"/>
      <c r="P53" s="84" t="s">
        <v>395</v>
      </c>
      <c r="Q53" s="84">
        <v>6317</v>
      </c>
      <c r="R53" s="84">
        <v>4744</v>
      </c>
      <c r="S53" s="84">
        <v>3961</v>
      </c>
      <c r="T53" s="84">
        <v>3351</v>
      </c>
      <c r="U53" s="84"/>
      <c r="W53" s="84" t="s">
        <v>395</v>
      </c>
      <c r="X53" s="84">
        <v>6501</v>
      </c>
      <c r="Y53" s="84">
        <v>5517</v>
      </c>
      <c r="Z53" s="84">
        <v>4149</v>
      </c>
      <c r="AA53" s="84">
        <v>3649</v>
      </c>
      <c r="AB53" s="84"/>
    </row>
    <row r="54" spans="2:28" x14ac:dyDescent="0.3">
      <c r="B54" s="84" t="s">
        <v>396</v>
      </c>
      <c r="C54" s="84">
        <v>18722</v>
      </c>
      <c r="D54" s="84">
        <v>9604</v>
      </c>
      <c r="E54" s="84">
        <v>581</v>
      </c>
      <c r="F54" s="84">
        <v>0</v>
      </c>
      <c r="G54" s="84"/>
      <c r="I54" s="84" t="s">
        <v>396</v>
      </c>
      <c r="J54" s="84">
        <v>18836</v>
      </c>
      <c r="K54" s="84">
        <v>7806</v>
      </c>
      <c r="L54" s="84">
        <v>241</v>
      </c>
      <c r="M54" s="84">
        <v>0</v>
      </c>
      <c r="N54" s="84"/>
      <c r="P54" s="84" t="s">
        <v>396</v>
      </c>
      <c r="Q54" s="84">
        <v>11094</v>
      </c>
      <c r="R54" s="84">
        <v>2292</v>
      </c>
      <c r="S54" s="84">
        <v>0</v>
      </c>
      <c r="T54" s="84">
        <v>0</v>
      </c>
      <c r="U54" s="84"/>
      <c r="W54" s="84" t="s">
        <v>396</v>
      </c>
      <c r="X54" s="84">
        <v>18767</v>
      </c>
      <c r="Y54" s="84">
        <v>10080</v>
      </c>
      <c r="Z54" s="84">
        <v>725</v>
      </c>
      <c r="AA54" s="84">
        <v>0</v>
      </c>
      <c r="AB54" s="84"/>
    </row>
    <row r="55" spans="2:28" x14ac:dyDescent="0.3">
      <c r="B55" s="84" t="s">
        <v>397</v>
      </c>
      <c r="C55" s="84">
        <v>147780</v>
      </c>
      <c r="D55" s="84">
        <v>118498</v>
      </c>
      <c r="E55" s="84">
        <v>83909</v>
      </c>
      <c r="F55" s="84">
        <v>71069</v>
      </c>
      <c r="G55" s="84"/>
      <c r="I55" s="84" t="s">
        <v>397</v>
      </c>
      <c r="J55" s="84">
        <v>149407</v>
      </c>
      <c r="K55" s="84">
        <v>121499</v>
      </c>
      <c r="L55" s="84">
        <v>107756</v>
      </c>
      <c r="M55" s="84">
        <v>73550</v>
      </c>
      <c r="N55" s="84"/>
      <c r="P55" s="84" t="s">
        <v>397</v>
      </c>
      <c r="Q55" s="84">
        <v>125912</v>
      </c>
      <c r="R55" s="84">
        <v>109850</v>
      </c>
      <c r="S55" s="84">
        <v>74926</v>
      </c>
      <c r="T55" s="84">
        <v>66850</v>
      </c>
      <c r="U55" s="84"/>
      <c r="W55" s="84" t="s">
        <v>397</v>
      </c>
      <c r="X55" s="84">
        <v>146150</v>
      </c>
      <c r="Y55" s="84">
        <v>118243</v>
      </c>
      <c r="Z55" s="84">
        <v>80773</v>
      </c>
      <c r="AA55" s="84">
        <v>69926</v>
      </c>
      <c r="AB55" s="84"/>
    </row>
    <row r="56" spans="2:28" x14ac:dyDescent="0.3">
      <c r="B56" s="84" t="s">
        <v>398</v>
      </c>
      <c r="C56" s="84">
        <v>351953</v>
      </c>
      <c r="D56" s="84">
        <v>293501</v>
      </c>
      <c r="E56" s="84">
        <v>280444</v>
      </c>
      <c r="F56" s="84">
        <v>238504</v>
      </c>
      <c r="G56" s="84"/>
      <c r="I56" s="84" t="s">
        <v>398</v>
      </c>
      <c r="J56" s="84">
        <v>354584</v>
      </c>
      <c r="K56" s="84">
        <v>299775</v>
      </c>
      <c r="L56" s="84">
        <v>282190</v>
      </c>
      <c r="M56" s="84">
        <v>240794</v>
      </c>
      <c r="N56" s="84"/>
      <c r="P56" s="84" t="s">
        <v>398</v>
      </c>
      <c r="Q56" s="84">
        <v>310358</v>
      </c>
      <c r="R56" s="84">
        <v>294242</v>
      </c>
      <c r="S56" s="84">
        <v>254789</v>
      </c>
      <c r="T56" s="84">
        <v>216242</v>
      </c>
      <c r="U56" s="84"/>
      <c r="W56" s="84" t="s">
        <v>398</v>
      </c>
      <c r="X56" s="84">
        <v>352823</v>
      </c>
      <c r="Y56" s="84">
        <v>292783</v>
      </c>
      <c r="Z56" s="84">
        <v>278956</v>
      </c>
      <c r="AA56" s="84">
        <v>238241</v>
      </c>
      <c r="AB56" s="84"/>
    </row>
    <row r="57" spans="2:28" x14ac:dyDescent="0.3">
      <c r="B57" s="84" t="s">
        <v>399</v>
      </c>
      <c r="C57" s="84">
        <v>0</v>
      </c>
      <c r="D57" s="84">
        <v>0</v>
      </c>
      <c r="E57" s="84">
        <v>0</v>
      </c>
      <c r="F57" s="84">
        <v>0</v>
      </c>
      <c r="G57" s="84"/>
      <c r="I57" s="84" t="s">
        <v>399</v>
      </c>
      <c r="J57" s="84">
        <v>0</v>
      </c>
      <c r="K57" s="84">
        <v>0</v>
      </c>
      <c r="L57" s="84">
        <v>0</v>
      </c>
      <c r="M57" s="84">
        <v>0</v>
      </c>
      <c r="N57" s="84"/>
      <c r="P57" s="84" t="s">
        <v>399</v>
      </c>
      <c r="Q57" s="84">
        <v>0</v>
      </c>
      <c r="R57" s="84">
        <v>0</v>
      </c>
      <c r="S57" s="84">
        <v>0</v>
      </c>
      <c r="T57" s="84">
        <v>0</v>
      </c>
      <c r="U57" s="84"/>
      <c r="W57" s="84" t="s">
        <v>399</v>
      </c>
      <c r="X57" s="84">
        <v>0</v>
      </c>
      <c r="Y57" s="84">
        <v>0</v>
      </c>
      <c r="Z57" s="84">
        <v>0</v>
      </c>
      <c r="AA57" s="84">
        <v>0</v>
      </c>
      <c r="AB57" s="84"/>
    </row>
    <row r="58" spans="2:28" x14ac:dyDescent="0.3">
      <c r="B58" s="84" t="s">
        <v>400</v>
      </c>
      <c r="C58" s="84">
        <v>0</v>
      </c>
      <c r="D58" s="84">
        <v>0</v>
      </c>
      <c r="E58" s="84">
        <v>0</v>
      </c>
      <c r="F58" s="84">
        <v>0</v>
      </c>
      <c r="G58" s="84"/>
      <c r="I58" s="84" t="s">
        <v>400</v>
      </c>
      <c r="J58" s="84">
        <v>0</v>
      </c>
      <c r="K58" s="84">
        <v>0</v>
      </c>
      <c r="L58" s="84">
        <v>0</v>
      </c>
      <c r="M58" s="84">
        <v>0</v>
      </c>
      <c r="N58" s="84"/>
      <c r="P58" s="84" t="s">
        <v>400</v>
      </c>
      <c r="Q58" s="84">
        <v>0</v>
      </c>
      <c r="R58" s="84">
        <v>0</v>
      </c>
      <c r="S58" s="84">
        <v>0</v>
      </c>
      <c r="T58" s="84">
        <v>0</v>
      </c>
      <c r="U58" s="84"/>
      <c r="W58" s="84" t="s">
        <v>400</v>
      </c>
      <c r="X58" s="84">
        <v>0</v>
      </c>
      <c r="Y58" s="84">
        <v>0</v>
      </c>
      <c r="Z58" s="84">
        <v>0</v>
      </c>
      <c r="AA58" s="84">
        <v>0</v>
      </c>
      <c r="AB58" s="84"/>
    </row>
    <row r="59" spans="2:28" x14ac:dyDescent="0.3">
      <c r="B59" s="84" t="s">
        <v>401</v>
      </c>
      <c r="C59" s="84">
        <v>0</v>
      </c>
      <c r="D59" s="84">
        <v>0</v>
      </c>
      <c r="E59" s="84">
        <v>0</v>
      </c>
      <c r="F59" s="84">
        <v>0</v>
      </c>
      <c r="G59" s="84"/>
      <c r="I59" s="84" t="s">
        <v>401</v>
      </c>
      <c r="J59" s="84">
        <v>0</v>
      </c>
      <c r="K59" s="84">
        <v>0</v>
      </c>
      <c r="L59" s="84">
        <v>0</v>
      </c>
      <c r="M59" s="84">
        <v>0</v>
      </c>
      <c r="N59" s="84"/>
      <c r="P59" s="84" t="s">
        <v>401</v>
      </c>
      <c r="Q59" s="84">
        <v>0</v>
      </c>
      <c r="R59" s="84">
        <v>0</v>
      </c>
      <c r="S59" s="84">
        <v>0</v>
      </c>
      <c r="T59" s="84">
        <v>0</v>
      </c>
      <c r="U59" s="84"/>
      <c r="W59" s="84" t="s">
        <v>401</v>
      </c>
      <c r="X59" s="84">
        <v>0</v>
      </c>
      <c r="Y59" s="84">
        <v>0</v>
      </c>
      <c r="Z59" s="84">
        <v>0</v>
      </c>
      <c r="AA59" s="84">
        <v>0</v>
      </c>
      <c r="AB59" s="84"/>
    </row>
    <row r="60" spans="2:28" x14ac:dyDescent="0.3">
      <c r="B60" s="84" t="s">
        <v>402</v>
      </c>
      <c r="C60" s="84">
        <v>0</v>
      </c>
      <c r="D60" s="84">
        <v>0</v>
      </c>
      <c r="E60" s="84">
        <v>0</v>
      </c>
      <c r="F60" s="84">
        <v>0</v>
      </c>
      <c r="G60" s="84"/>
      <c r="I60" s="84" t="s">
        <v>402</v>
      </c>
      <c r="J60" s="84">
        <v>0</v>
      </c>
      <c r="K60" s="84">
        <v>0</v>
      </c>
      <c r="L60" s="84">
        <v>0</v>
      </c>
      <c r="M60" s="84">
        <v>0</v>
      </c>
      <c r="N60" s="84"/>
      <c r="P60" s="84" t="s">
        <v>402</v>
      </c>
      <c r="Q60" s="84">
        <v>0</v>
      </c>
      <c r="R60" s="84">
        <v>0</v>
      </c>
      <c r="S60" s="84">
        <v>0</v>
      </c>
      <c r="T60" s="84">
        <v>0</v>
      </c>
      <c r="U60" s="84"/>
      <c r="W60" s="84" t="s">
        <v>402</v>
      </c>
      <c r="X60" s="84">
        <v>0</v>
      </c>
      <c r="Y60" s="84">
        <v>0</v>
      </c>
      <c r="Z60" s="84">
        <v>0</v>
      </c>
      <c r="AA60" s="84">
        <v>0</v>
      </c>
      <c r="AB60" s="84"/>
    </row>
    <row r="61" spans="2:28" x14ac:dyDescent="0.3">
      <c r="B61" s="84" t="s">
        <v>403</v>
      </c>
      <c r="C61" s="84">
        <v>0</v>
      </c>
      <c r="D61" s="84">
        <v>0</v>
      </c>
      <c r="E61" s="84">
        <v>0</v>
      </c>
      <c r="F61" s="84">
        <v>0</v>
      </c>
      <c r="G61" s="84"/>
      <c r="I61" s="84" t="s">
        <v>403</v>
      </c>
      <c r="J61" s="84">
        <v>0</v>
      </c>
      <c r="K61" s="84">
        <v>0</v>
      </c>
      <c r="L61" s="84">
        <v>0</v>
      </c>
      <c r="M61" s="84">
        <v>0</v>
      </c>
      <c r="N61" s="84"/>
      <c r="P61" s="84" t="s">
        <v>403</v>
      </c>
      <c r="Q61" s="84">
        <v>0</v>
      </c>
      <c r="R61" s="84">
        <v>0</v>
      </c>
      <c r="S61" s="84">
        <v>0</v>
      </c>
      <c r="T61" s="84">
        <v>0</v>
      </c>
      <c r="U61" s="84"/>
      <c r="W61" s="84" t="s">
        <v>403</v>
      </c>
      <c r="X61" s="84">
        <v>0</v>
      </c>
      <c r="Y61" s="84">
        <v>0</v>
      </c>
      <c r="Z61" s="84">
        <v>0</v>
      </c>
      <c r="AA61" s="84">
        <v>0</v>
      </c>
      <c r="AB61" s="84"/>
    </row>
    <row r="62" spans="2:28" x14ac:dyDescent="0.3">
      <c r="B62" s="84" t="s">
        <v>404</v>
      </c>
      <c r="C62" s="84">
        <v>0</v>
      </c>
      <c r="D62" s="84">
        <v>0</v>
      </c>
      <c r="E62" s="84">
        <v>0</v>
      </c>
      <c r="F62" s="84">
        <v>0</v>
      </c>
      <c r="G62" s="84"/>
      <c r="I62" s="84" t="s">
        <v>404</v>
      </c>
      <c r="J62" s="84">
        <v>0</v>
      </c>
      <c r="K62" s="84">
        <v>0</v>
      </c>
      <c r="L62" s="84">
        <v>0</v>
      </c>
      <c r="M62" s="84">
        <v>0</v>
      </c>
      <c r="N62" s="84"/>
      <c r="P62" s="84" t="s">
        <v>404</v>
      </c>
      <c r="Q62" s="84">
        <v>0</v>
      </c>
      <c r="R62" s="84">
        <v>0</v>
      </c>
      <c r="S62" s="84">
        <v>0</v>
      </c>
      <c r="T62" s="84">
        <v>0</v>
      </c>
      <c r="U62" s="84"/>
      <c r="W62" s="84" t="s">
        <v>404</v>
      </c>
      <c r="X62" s="84">
        <v>0</v>
      </c>
      <c r="Y62" s="84">
        <v>0</v>
      </c>
      <c r="Z62" s="84">
        <v>0</v>
      </c>
      <c r="AA62" s="84">
        <v>0</v>
      </c>
      <c r="AB62" s="84"/>
    </row>
    <row r="63" spans="2:28" x14ac:dyDescent="0.3">
      <c r="B63" s="84" t="s">
        <v>405</v>
      </c>
      <c r="C63" s="84">
        <v>13120</v>
      </c>
      <c r="D63" s="84">
        <v>10341</v>
      </c>
      <c r="E63" s="84">
        <v>11290</v>
      </c>
      <c r="F63" s="84">
        <v>9608</v>
      </c>
      <c r="G63" s="84"/>
      <c r="I63" s="84" t="s">
        <v>405</v>
      </c>
      <c r="J63" s="84">
        <v>12605</v>
      </c>
      <c r="K63" s="84">
        <v>13351</v>
      </c>
      <c r="L63" s="84">
        <v>8244</v>
      </c>
      <c r="M63" s="84">
        <v>8644</v>
      </c>
      <c r="N63" s="84"/>
      <c r="P63" s="84" t="s">
        <v>405</v>
      </c>
      <c r="Q63" s="84">
        <v>11892</v>
      </c>
      <c r="R63" s="84">
        <v>10464</v>
      </c>
      <c r="S63" s="84">
        <v>7309</v>
      </c>
      <c r="T63" s="84">
        <v>12351</v>
      </c>
      <c r="U63" s="84"/>
      <c r="W63" s="84" t="s">
        <v>405</v>
      </c>
      <c r="X63" s="84">
        <v>16899</v>
      </c>
      <c r="Y63" s="84">
        <v>9768</v>
      </c>
      <c r="Z63" s="84">
        <v>9193</v>
      </c>
      <c r="AA63" s="84">
        <v>12105</v>
      </c>
      <c r="AB63" s="84"/>
    </row>
    <row r="64" spans="2:28" x14ac:dyDescent="0.3">
      <c r="B64" s="84" t="s">
        <v>406</v>
      </c>
      <c r="C64" s="84">
        <v>20594</v>
      </c>
      <c r="D64" s="84">
        <v>17972</v>
      </c>
      <c r="E64" s="84">
        <v>16150</v>
      </c>
      <c r="F64" s="84">
        <v>15194</v>
      </c>
      <c r="G64" s="84"/>
      <c r="I64" s="84" t="s">
        <v>406</v>
      </c>
      <c r="J64" s="84">
        <v>18179</v>
      </c>
      <c r="K64" s="84">
        <v>15073</v>
      </c>
      <c r="L64" s="84">
        <v>18258</v>
      </c>
      <c r="M64" s="84">
        <v>15105</v>
      </c>
      <c r="N64" s="84"/>
      <c r="P64" s="84" t="s">
        <v>406</v>
      </c>
      <c r="Q64" s="84">
        <v>21026</v>
      </c>
      <c r="R64" s="84">
        <v>18768</v>
      </c>
      <c r="S64" s="84">
        <v>18597</v>
      </c>
      <c r="T64" s="84">
        <v>17738</v>
      </c>
      <c r="U64" s="84"/>
      <c r="W64" s="84" t="s">
        <v>406</v>
      </c>
      <c r="X64" s="84">
        <v>27967</v>
      </c>
      <c r="Y64" s="84">
        <v>21713</v>
      </c>
      <c r="Z64" s="84">
        <v>24161</v>
      </c>
      <c r="AA64" s="84">
        <v>22768</v>
      </c>
      <c r="AB64" s="84"/>
    </row>
    <row r="65" spans="2:28" x14ac:dyDescent="0.3">
      <c r="B65" s="84" t="s">
        <v>407</v>
      </c>
      <c r="C65" s="84">
        <v>2648</v>
      </c>
      <c r="D65" s="84">
        <v>2529</v>
      </c>
      <c r="E65" s="84">
        <v>1503</v>
      </c>
      <c r="F65" s="84">
        <v>2376</v>
      </c>
      <c r="G65" s="84"/>
      <c r="I65" s="84" t="s">
        <v>407</v>
      </c>
      <c r="J65" s="84">
        <v>3315</v>
      </c>
      <c r="K65" s="84">
        <v>1870</v>
      </c>
      <c r="L65" s="84">
        <v>1680</v>
      </c>
      <c r="M65" s="84">
        <v>2080</v>
      </c>
      <c r="N65" s="84"/>
      <c r="P65" s="84" t="s">
        <v>407</v>
      </c>
      <c r="Q65" s="84">
        <v>1788</v>
      </c>
      <c r="R65" s="84">
        <v>1600</v>
      </c>
      <c r="S65" s="84">
        <v>2460</v>
      </c>
      <c r="T65" s="84">
        <v>2367</v>
      </c>
      <c r="U65" s="84"/>
      <c r="W65" s="84" t="s">
        <v>407</v>
      </c>
      <c r="X65" s="84">
        <v>3468</v>
      </c>
      <c r="Y65" s="84">
        <v>1451</v>
      </c>
      <c r="Z65" s="84">
        <v>2596</v>
      </c>
      <c r="AA65" s="84">
        <v>2856</v>
      </c>
      <c r="AB65" s="84"/>
    </row>
    <row r="66" spans="2:28" x14ac:dyDescent="0.3">
      <c r="B66" s="84" t="s">
        <v>408</v>
      </c>
      <c r="C66" s="84">
        <v>0</v>
      </c>
      <c r="D66" s="84">
        <v>0</v>
      </c>
      <c r="E66" s="84">
        <v>0</v>
      </c>
      <c r="F66" s="84">
        <v>0</v>
      </c>
      <c r="G66" s="84"/>
      <c r="I66" s="84" t="s">
        <v>408</v>
      </c>
      <c r="J66" s="84">
        <v>0</v>
      </c>
      <c r="K66" s="84">
        <v>0</v>
      </c>
      <c r="L66" s="84">
        <v>0</v>
      </c>
      <c r="M66" s="84">
        <v>0</v>
      </c>
      <c r="N66" s="84"/>
      <c r="P66" s="84" t="s">
        <v>408</v>
      </c>
      <c r="Q66" s="84">
        <v>0</v>
      </c>
      <c r="R66" s="84">
        <v>0</v>
      </c>
      <c r="S66" s="84">
        <v>0</v>
      </c>
      <c r="T66" s="84">
        <v>0</v>
      </c>
      <c r="U66" s="84"/>
      <c r="W66" s="84" t="s">
        <v>408</v>
      </c>
      <c r="X66" s="84">
        <v>0</v>
      </c>
      <c r="Y66" s="84">
        <v>0</v>
      </c>
      <c r="Z66" s="84">
        <v>0</v>
      </c>
      <c r="AA66" s="84">
        <v>0</v>
      </c>
      <c r="AB66" s="84"/>
    </row>
    <row r="67" spans="2:28" x14ac:dyDescent="0.3">
      <c r="B67" s="84" t="s">
        <v>409</v>
      </c>
      <c r="C67" s="84">
        <v>0</v>
      </c>
      <c r="D67" s="84">
        <v>0</v>
      </c>
      <c r="E67" s="84">
        <v>0</v>
      </c>
      <c r="F67" s="84">
        <v>0</v>
      </c>
      <c r="G67" s="84"/>
      <c r="I67" s="84" t="s">
        <v>409</v>
      </c>
      <c r="J67" s="84">
        <v>0</v>
      </c>
      <c r="K67" s="84">
        <v>0</v>
      </c>
      <c r="L67" s="84">
        <v>0</v>
      </c>
      <c r="M67" s="84">
        <v>0</v>
      </c>
      <c r="N67" s="84"/>
      <c r="P67" s="84" t="s">
        <v>409</v>
      </c>
      <c r="Q67" s="84">
        <v>0</v>
      </c>
      <c r="R67" s="84">
        <v>0</v>
      </c>
      <c r="S67" s="84">
        <v>0</v>
      </c>
      <c r="T67" s="84">
        <v>0</v>
      </c>
      <c r="U67" s="84"/>
      <c r="W67" s="84" t="s">
        <v>409</v>
      </c>
      <c r="X67" s="84">
        <v>0</v>
      </c>
      <c r="Y67" s="84">
        <v>0</v>
      </c>
      <c r="Z67" s="84">
        <v>0</v>
      </c>
      <c r="AA67" s="84">
        <v>0</v>
      </c>
      <c r="AB67" s="84"/>
    </row>
    <row r="68" spans="2:28" x14ac:dyDescent="0.3">
      <c r="B68" s="84" t="s">
        <v>410</v>
      </c>
      <c r="C68" s="84">
        <v>4419</v>
      </c>
      <c r="D68" s="84">
        <v>5086</v>
      </c>
      <c r="E68" s="84">
        <v>3370</v>
      </c>
      <c r="F68" s="84">
        <v>3514</v>
      </c>
      <c r="G68" s="84"/>
      <c r="I68" s="84" t="s">
        <v>410</v>
      </c>
      <c r="J68" s="84">
        <v>4867</v>
      </c>
      <c r="K68" s="84">
        <v>3886</v>
      </c>
      <c r="L68" s="84">
        <v>3129</v>
      </c>
      <c r="M68" s="84">
        <v>3903</v>
      </c>
      <c r="N68" s="84"/>
      <c r="P68" s="84" t="s">
        <v>410</v>
      </c>
      <c r="Q68" s="84">
        <v>3867</v>
      </c>
      <c r="R68" s="84">
        <v>2893</v>
      </c>
      <c r="S68" s="84">
        <v>3432</v>
      </c>
      <c r="T68" s="84">
        <v>3095</v>
      </c>
      <c r="U68" s="84"/>
      <c r="W68" s="84" t="s">
        <v>410</v>
      </c>
      <c r="X68" s="84">
        <v>5856</v>
      </c>
      <c r="Y68" s="84">
        <v>5664</v>
      </c>
      <c r="Z68" s="84">
        <v>3981</v>
      </c>
      <c r="AA68" s="84">
        <v>4152</v>
      </c>
      <c r="AB68" s="84"/>
    </row>
    <row r="69" spans="2:28" x14ac:dyDescent="0.3">
      <c r="B69" s="84" t="s">
        <v>411</v>
      </c>
      <c r="C69" s="84">
        <v>10817</v>
      </c>
      <c r="D69" s="84">
        <v>6066</v>
      </c>
      <c r="E69" s="84">
        <v>8268</v>
      </c>
      <c r="F69" s="84">
        <v>9386</v>
      </c>
      <c r="G69" s="84"/>
      <c r="I69" s="84" t="s">
        <v>411</v>
      </c>
      <c r="J69" s="84">
        <v>5844</v>
      </c>
      <c r="K69" s="84">
        <v>4653</v>
      </c>
      <c r="L69" s="84">
        <v>4214</v>
      </c>
      <c r="M69" s="84">
        <v>4399</v>
      </c>
      <c r="N69" s="84"/>
      <c r="P69" s="84" t="s">
        <v>411</v>
      </c>
      <c r="Q69" s="84">
        <v>5477</v>
      </c>
      <c r="R69" s="84">
        <v>5748</v>
      </c>
      <c r="S69" s="84">
        <v>6885</v>
      </c>
      <c r="T69" s="84">
        <v>6216</v>
      </c>
      <c r="U69" s="84"/>
      <c r="W69" s="84" t="s">
        <v>411</v>
      </c>
      <c r="X69" s="84">
        <v>12723</v>
      </c>
      <c r="Y69" s="84">
        <v>10803</v>
      </c>
      <c r="Z69" s="84">
        <v>9651</v>
      </c>
      <c r="AA69" s="84">
        <v>7915</v>
      </c>
      <c r="AB69" s="84"/>
    </row>
    <row r="70" spans="2:28" x14ac:dyDescent="0.3">
      <c r="B70" s="84" t="s">
        <v>412</v>
      </c>
      <c r="C70" s="84">
        <v>0</v>
      </c>
      <c r="D70" s="84">
        <v>0</v>
      </c>
      <c r="E70" s="84">
        <v>0</v>
      </c>
      <c r="F70" s="84">
        <v>0</v>
      </c>
      <c r="G70" s="84"/>
      <c r="I70" s="84" t="s">
        <v>412</v>
      </c>
      <c r="J70" s="84">
        <v>0</v>
      </c>
      <c r="K70" s="84">
        <v>0</v>
      </c>
      <c r="L70" s="84">
        <v>0</v>
      </c>
      <c r="M70" s="84">
        <v>0</v>
      </c>
      <c r="N70" s="84"/>
      <c r="P70" s="84" t="s">
        <v>412</v>
      </c>
      <c r="Q70" s="84">
        <v>0</v>
      </c>
      <c r="R70" s="84">
        <v>0</v>
      </c>
      <c r="S70" s="84">
        <v>0</v>
      </c>
      <c r="T70" s="84">
        <v>0</v>
      </c>
      <c r="U70" s="84"/>
      <c r="W70" s="84" t="s">
        <v>412</v>
      </c>
      <c r="X70" s="84">
        <v>0</v>
      </c>
      <c r="Y70" s="84">
        <v>0</v>
      </c>
      <c r="Z70" s="84">
        <v>0</v>
      </c>
      <c r="AA70" s="84">
        <v>0</v>
      </c>
      <c r="AB70" s="84"/>
    </row>
    <row r="71" spans="2:28" x14ac:dyDescent="0.3">
      <c r="B71" s="84" t="s">
        <v>413</v>
      </c>
      <c r="C71" s="84">
        <v>363</v>
      </c>
      <c r="D71" s="84">
        <v>2259</v>
      </c>
      <c r="E71" s="84">
        <v>820</v>
      </c>
      <c r="F71" s="84">
        <v>1331</v>
      </c>
      <c r="G71" s="84"/>
      <c r="I71" s="84" t="s">
        <v>413</v>
      </c>
      <c r="J71" s="84">
        <v>123</v>
      </c>
      <c r="K71" s="84">
        <v>4088</v>
      </c>
      <c r="L71" s="84">
        <v>3312</v>
      </c>
      <c r="M71" s="84">
        <v>1684</v>
      </c>
      <c r="N71" s="84"/>
      <c r="P71" s="84" t="s">
        <v>413</v>
      </c>
      <c r="Q71" s="84">
        <v>2318</v>
      </c>
      <c r="R71" s="84">
        <v>3219</v>
      </c>
      <c r="S71" s="84">
        <v>1564</v>
      </c>
      <c r="T71" s="84">
        <v>2130</v>
      </c>
      <c r="U71" s="84"/>
      <c r="W71" s="84" t="s">
        <v>413</v>
      </c>
      <c r="X71" s="84">
        <v>1531</v>
      </c>
      <c r="Y71" s="84">
        <v>2956</v>
      </c>
      <c r="Z71" s="84">
        <v>1359</v>
      </c>
      <c r="AA71" s="84">
        <v>1523</v>
      </c>
      <c r="AB71" s="84"/>
    </row>
    <row r="72" spans="2:28" x14ac:dyDescent="0.3">
      <c r="B72" s="84" t="s">
        <v>414</v>
      </c>
      <c r="C72" s="84">
        <v>0</v>
      </c>
      <c r="D72" s="84">
        <v>0</v>
      </c>
      <c r="E72" s="84">
        <v>0</v>
      </c>
      <c r="F72" s="84">
        <v>0</v>
      </c>
      <c r="G72" s="84"/>
      <c r="I72" s="84" t="s">
        <v>414</v>
      </c>
      <c r="J72" s="84">
        <v>0</v>
      </c>
      <c r="K72" s="84">
        <v>0</v>
      </c>
      <c r="L72" s="84">
        <v>0</v>
      </c>
      <c r="M72" s="84">
        <v>0</v>
      </c>
      <c r="N72" s="84"/>
      <c r="P72" s="84" t="s">
        <v>414</v>
      </c>
      <c r="Q72" s="84">
        <v>0</v>
      </c>
      <c r="R72" s="84">
        <v>0</v>
      </c>
      <c r="S72" s="84">
        <v>0</v>
      </c>
      <c r="T72" s="84">
        <v>0</v>
      </c>
      <c r="U72" s="84"/>
      <c r="W72" s="84" t="s">
        <v>414</v>
      </c>
      <c r="X72" s="84">
        <v>0</v>
      </c>
      <c r="Y72" s="84">
        <v>0</v>
      </c>
      <c r="Z72" s="84">
        <v>0</v>
      </c>
      <c r="AA72" s="84">
        <v>0</v>
      </c>
      <c r="AB72" s="84"/>
    </row>
    <row r="73" spans="2:28" x14ac:dyDescent="0.3">
      <c r="B73" s="84" t="s">
        <v>415</v>
      </c>
      <c r="C73" s="84">
        <v>0</v>
      </c>
      <c r="D73" s="84">
        <v>0</v>
      </c>
      <c r="E73" s="84">
        <v>0</v>
      </c>
      <c r="F73" s="84">
        <v>0</v>
      </c>
      <c r="G73" s="84"/>
      <c r="I73" s="84" t="s">
        <v>415</v>
      </c>
      <c r="J73" s="84">
        <v>0</v>
      </c>
      <c r="K73" s="84">
        <v>0</v>
      </c>
      <c r="L73" s="84">
        <v>0</v>
      </c>
      <c r="M73" s="84">
        <v>0</v>
      </c>
      <c r="N73" s="84"/>
      <c r="P73" s="84" t="s">
        <v>415</v>
      </c>
      <c r="Q73" s="84">
        <v>0</v>
      </c>
      <c r="R73" s="84">
        <v>0</v>
      </c>
      <c r="S73" s="84">
        <v>0</v>
      </c>
      <c r="T73" s="84">
        <v>0</v>
      </c>
      <c r="U73" s="84"/>
      <c r="W73" s="84" t="s">
        <v>415</v>
      </c>
      <c r="X73" s="84">
        <v>0</v>
      </c>
      <c r="Y73" s="84">
        <v>0</v>
      </c>
      <c r="Z73" s="84">
        <v>0</v>
      </c>
      <c r="AA73" s="84">
        <v>0</v>
      </c>
      <c r="AB73" s="84"/>
    </row>
    <row r="74" spans="2:28" x14ac:dyDescent="0.3">
      <c r="B74" s="84" t="s">
        <v>416</v>
      </c>
      <c r="C74" s="84">
        <v>0</v>
      </c>
      <c r="D74" s="84">
        <v>0</v>
      </c>
      <c r="E74" s="84">
        <v>0</v>
      </c>
      <c r="F74" s="84">
        <v>0</v>
      </c>
      <c r="G74" s="84"/>
      <c r="I74" s="84" t="s">
        <v>416</v>
      </c>
      <c r="J74" s="84">
        <v>0</v>
      </c>
      <c r="K74" s="84">
        <v>0</v>
      </c>
      <c r="L74" s="84">
        <v>0</v>
      </c>
      <c r="M74" s="84">
        <v>0</v>
      </c>
      <c r="N74" s="84"/>
      <c r="P74" s="84" t="s">
        <v>416</v>
      </c>
      <c r="Q74" s="84">
        <v>0</v>
      </c>
      <c r="R74" s="84">
        <v>0</v>
      </c>
      <c r="S74" s="84">
        <v>0</v>
      </c>
      <c r="T74" s="84">
        <v>0</v>
      </c>
      <c r="U74" s="84"/>
      <c r="W74" s="84" t="s">
        <v>416</v>
      </c>
      <c r="X74" s="84">
        <v>0</v>
      </c>
      <c r="Y74" s="84">
        <v>0</v>
      </c>
      <c r="Z74" s="84">
        <v>0</v>
      </c>
      <c r="AA74" s="84">
        <v>0</v>
      </c>
      <c r="AB74" s="84"/>
    </row>
    <row r="75" spans="2:28" x14ac:dyDescent="0.3">
      <c r="B75" s="84" t="s">
        <v>417</v>
      </c>
      <c r="C75" s="84">
        <v>15659</v>
      </c>
      <c r="D75" s="84">
        <v>8931</v>
      </c>
      <c r="E75" s="84">
        <v>10127</v>
      </c>
      <c r="F75" s="84">
        <v>4517</v>
      </c>
      <c r="G75" s="84"/>
      <c r="I75" s="84" t="s">
        <v>417</v>
      </c>
      <c r="J75" s="84">
        <v>25051</v>
      </c>
      <c r="K75" s="84">
        <v>16752</v>
      </c>
      <c r="L75" s="84">
        <v>9963</v>
      </c>
      <c r="M75" s="84">
        <v>4324</v>
      </c>
      <c r="N75" s="84"/>
      <c r="P75" s="84" t="s">
        <v>417</v>
      </c>
      <c r="Q75" s="84">
        <v>15323</v>
      </c>
      <c r="R75" s="84">
        <v>10003</v>
      </c>
      <c r="S75" s="84">
        <v>4448</v>
      </c>
      <c r="T75" s="84">
        <v>3245</v>
      </c>
      <c r="U75" s="84"/>
      <c r="W75" s="84" t="s">
        <v>417</v>
      </c>
      <c r="X75" s="84">
        <v>15552</v>
      </c>
      <c r="Y75" s="84">
        <v>8598</v>
      </c>
      <c r="Z75" s="84">
        <v>9479</v>
      </c>
      <c r="AA75" s="84">
        <v>4931</v>
      </c>
      <c r="AB75" s="84"/>
    </row>
    <row r="76" spans="2:28" x14ac:dyDescent="0.3">
      <c r="B76" s="84" t="s">
        <v>418</v>
      </c>
      <c r="C76" s="84">
        <v>0</v>
      </c>
      <c r="D76" s="84">
        <v>0</v>
      </c>
      <c r="E76" s="84">
        <v>0</v>
      </c>
      <c r="F76" s="84">
        <v>0</v>
      </c>
      <c r="G76" s="84"/>
      <c r="I76" s="84" t="s">
        <v>418</v>
      </c>
      <c r="J76" s="84">
        <v>0</v>
      </c>
      <c r="K76" s="84">
        <v>0</v>
      </c>
      <c r="L76" s="84">
        <v>0</v>
      </c>
      <c r="M76" s="84">
        <v>0</v>
      </c>
      <c r="N76" s="84"/>
      <c r="P76" s="84" t="s">
        <v>418</v>
      </c>
      <c r="Q76" s="84">
        <v>0</v>
      </c>
      <c r="R76" s="84">
        <v>0</v>
      </c>
      <c r="S76" s="84">
        <v>0</v>
      </c>
      <c r="T76" s="84">
        <v>0</v>
      </c>
      <c r="U76" s="84"/>
      <c r="W76" s="84" t="s">
        <v>418</v>
      </c>
      <c r="X76" s="84">
        <v>0</v>
      </c>
      <c r="Y76" s="84">
        <v>0</v>
      </c>
      <c r="Z76" s="84">
        <v>0</v>
      </c>
      <c r="AA76" s="84">
        <v>0</v>
      </c>
      <c r="AB76" s="84"/>
    </row>
    <row r="77" spans="2:28" x14ac:dyDescent="0.3">
      <c r="B77" s="84" t="s">
        <v>419</v>
      </c>
      <c r="C77" s="84">
        <v>0</v>
      </c>
      <c r="D77" s="84">
        <v>0</v>
      </c>
      <c r="E77" s="84">
        <v>0</v>
      </c>
      <c r="F77" s="84">
        <v>0</v>
      </c>
      <c r="G77" s="84"/>
      <c r="I77" s="84" t="s">
        <v>419</v>
      </c>
      <c r="J77" s="84">
        <v>0</v>
      </c>
      <c r="K77" s="84">
        <v>0</v>
      </c>
      <c r="L77" s="84">
        <v>0</v>
      </c>
      <c r="M77" s="84">
        <v>0</v>
      </c>
      <c r="N77" s="84"/>
      <c r="P77" s="84" t="s">
        <v>419</v>
      </c>
      <c r="Q77" s="84">
        <v>0</v>
      </c>
      <c r="R77" s="84">
        <v>0</v>
      </c>
      <c r="S77" s="84">
        <v>0</v>
      </c>
      <c r="T77" s="84">
        <v>0</v>
      </c>
      <c r="U77" s="84"/>
      <c r="W77" s="84" t="s">
        <v>419</v>
      </c>
      <c r="X77" s="84">
        <v>0</v>
      </c>
      <c r="Y77" s="84">
        <v>0</v>
      </c>
      <c r="Z77" s="84">
        <v>0</v>
      </c>
      <c r="AA77" s="84">
        <v>0</v>
      </c>
      <c r="AB77" s="84"/>
    </row>
    <row r="78" spans="2:28" x14ac:dyDescent="0.3">
      <c r="B78" s="84" t="s">
        <v>420</v>
      </c>
      <c r="C78" s="84">
        <v>0</v>
      </c>
      <c r="D78" s="84">
        <v>0</v>
      </c>
      <c r="E78" s="84">
        <v>0</v>
      </c>
      <c r="F78" s="84">
        <v>0</v>
      </c>
      <c r="G78" s="84"/>
      <c r="I78" s="84" t="s">
        <v>420</v>
      </c>
      <c r="J78" s="84">
        <v>0</v>
      </c>
      <c r="K78" s="84">
        <v>0</v>
      </c>
      <c r="L78" s="84">
        <v>0</v>
      </c>
      <c r="M78" s="84">
        <v>0</v>
      </c>
      <c r="N78" s="84"/>
      <c r="P78" s="84" t="s">
        <v>420</v>
      </c>
      <c r="Q78" s="84">
        <v>0</v>
      </c>
      <c r="R78" s="84">
        <v>0</v>
      </c>
      <c r="S78" s="84">
        <v>0</v>
      </c>
      <c r="T78" s="84">
        <v>0</v>
      </c>
      <c r="U78" s="84"/>
      <c r="W78" s="84" t="s">
        <v>420</v>
      </c>
      <c r="X78" s="84">
        <v>0</v>
      </c>
      <c r="Y78" s="84">
        <v>0</v>
      </c>
      <c r="Z78" s="84">
        <v>0</v>
      </c>
      <c r="AA78" s="84">
        <v>0</v>
      </c>
      <c r="AB78" s="84"/>
    </row>
    <row r="79" spans="2:28" x14ac:dyDescent="0.3">
      <c r="B79" s="84" t="s">
        <v>421</v>
      </c>
      <c r="C79" s="84">
        <v>0</v>
      </c>
      <c r="D79" s="84">
        <v>0</v>
      </c>
      <c r="E79" s="84">
        <v>0</v>
      </c>
      <c r="F79" s="84">
        <v>0</v>
      </c>
      <c r="G79" s="84"/>
      <c r="I79" s="84" t="s">
        <v>421</v>
      </c>
      <c r="J79" s="84">
        <v>0</v>
      </c>
      <c r="K79" s="84">
        <v>0</v>
      </c>
      <c r="L79" s="84">
        <v>0</v>
      </c>
      <c r="M79" s="84">
        <v>0</v>
      </c>
      <c r="N79" s="84"/>
      <c r="P79" s="84" t="s">
        <v>421</v>
      </c>
      <c r="Q79" s="84">
        <v>0</v>
      </c>
      <c r="R79" s="84">
        <v>0</v>
      </c>
      <c r="S79" s="84">
        <v>0</v>
      </c>
      <c r="T79" s="84">
        <v>0</v>
      </c>
      <c r="U79" s="84"/>
      <c r="W79" s="84" t="s">
        <v>421</v>
      </c>
      <c r="X79" s="84">
        <v>0</v>
      </c>
      <c r="Y79" s="84">
        <v>0</v>
      </c>
      <c r="Z79" s="84">
        <v>0</v>
      </c>
      <c r="AA79" s="84">
        <v>0</v>
      </c>
      <c r="AB79" s="84"/>
    </row>
    <row r="80" spans="2:28" x14ac:dyDescent="0.3">
      <c r="B80" s="84" t="s">
        <v>422</v>
      </c>
      <c r="C80" s="84">
        <v>0</v>
      </c>
      <c r="D80" s="84">
        <v>0</v>
      </c>
      <c r="E80" s="84">
        <v>0</v>
      </c>
      <c r="F80" s="84">
        <v>0</v>
      </c>
      <c r="G80" s="84"/>
      <c r="I80" s="84" t="s">
        <v>422</v>
      </c>
      <c r="J80" s="84">
        <v>0</v>
      </c>
      <c r="K80" s="84">
        <v>0</v>
      </c>
      <c r="L80" s="84">
        <v>0</v>
      </c>
      <c r="M80" s="84">
        <v>0</v>
      </c>
      <c r="N80" s="84"/>
      <c r="P80" s="84" t="s">
        <v>422</v>
      </c>
      <c r="Q80" s="84">
        <v>0</v>
      </c>
      <c r="R80" s="84">
        <v>0</v>
      </c>
      <c r="S80" s="84">
        <v>0</v>
      </c>
      <c r="T80" s="84">
        <v>0</v>
      </c>
      <c r="U80" s="84"/>
      <c r="W80" s="84" t="s">
        <v>422</v>
      </c>
      <c r="X80" s="84">
        <v>0</v>
      </c>
      <c r="Y80" s="84">
        <v>0</v>
      </c>
      <c r="Z80" s="84">
        <v>0</v>
      </c>
      <c r="AA80" s="84">
        <v>0</v>
      </c>
      <c r="AB80" s="84"/>
    </row>
    <row r="81" spans="2:28" x14ac:dyDescent="0.3">
      <c r="B81" s="84" t="s">
        <v>423</v>
      </c>
      <c r="C81" s="84">
        <v>0</v>
      </c>
      <c r="D81" s="84">
        <v>0</v>
      </c>
      <c r="E81" s="84">
        <v>0</v>
      </c>
      <c r="F81" s="84">
        <v>0</v>
      </c>
      <c r="G81" s="84"/>
      <c r="I81" s="84" t="s">
        <v>423</v>
      </c>
      <c r="J81" s="84">
        <v>0</v>
      </c>
      <c r="K81" s="84">
        <v>0</v>
      </c>
      <c r="L81" s="84">
        <v>0</v>
      </c>
      <c r="M81" s="84">
        <v>0</v>
      </c>
      <c r="N81" s="84"/>
      <c r="P81" s="84" t="s">
        <v>423</v>
      </c>
      <c r="Q81" s="84">
        <v>0</v>
      </c>
      <c r="R81" s="84">
        <v>0</v>
      </c>
      <c r="S81" s="84">
        <v>0</v>
      </c>
      <c r="T81" s="84">
        <v>0</v>
      </c>
      <c r="U81" s="84"/>
      <c r="W81" s="84" t="s">
        <v>423</v>
      </c>
      <c r="X81" s="84">
        <v>0</v>
      </c>
      <c r="Y81" s="84">
        <v>0</v>
      </c>
      <c r="Z81" s="84">
        <v>0</v>
      </c>
      <c r="AA81" s="84">
        <v>0</v>
      </c>
      <c r="AB81" s="84"/>
    </row>
    <row r="82" spans="2:28" x14ac:dyDescent="0.3">
      <c r="B82" s="84" t="s">
        <v>424</v>
      </c>
      <c r="C82" s="84">
        <v>0</v>
      </c>
      <c r="D82" s="84">
        <v>0</v>
      </c>
      <c r="E82" s="84">
        <v>0</v>
      </c>
      <c r="F82" s="84">
        <v>0</v>
      </c>
      <c r="G82" s="84"/>
      <c r="I82" s="84" t="s">
        <v>424</v>
      </c>
      <c r="J82" s="84">
        <v>0</v>
      </c>
      <c r="K82" s="84">
        <v>0</v>
      </c>
      <c r="L82" s="84">
        <v>0</v>
      </c>
      <c r="M82" s="84">
        <v>0</v>
      </c>
      <c r="N82" s="84"/>
      <c r="P82" s="84" t="s">
        <v>424</v>
      </c>
      <c r="Q82" s="84">
        <v>0</v>
      </c>
      <c r="R82" s="84">
        <v>0</v>
      </c>
      <c r="S82" s="84">
        <v>0</v>
      </c>
      <c r="T82" s="84">
        <v>0</v>
      </c>
      <c r="U82" s="84"/>
      <c r="W82" s="84" t="s">
        <v>424</v>
      </c>
      <c r="X82" s="84">
        <v>0</v>
      </c>
      <c r="Y82" s="84">
        <v>0</v>
      </c>
      <c r="Z82" s="84">
        <v>0</v>
      </c>
      <c r="AA82" s="84">
        <v>0</v>
      </c>
      <c r="AB82" s="84"/>
    </row>
    <row r="83" spans="2:28" x14ac:dyDescent="0.3">
      <c r="B83" s="84" t="s">
        <v>425</v>
      </c>
      <c r="C83" s="84">
        <v>0</v>
      </c>
      <c r="D83" s="84">
        <v>0</v>
      </c>
      <c r="E83" s="84">
        <v>0</v>
      </c>
      <c r="F83" s="84">
        <v>0</v>
      </c>
      <c r="G83" s="84"/>
      <c r="I83" s="84" t="s">
        <v>425</v>
      </c>
      <c r="J83" s="84">
        <v>0</v>
      </c>
      <c r="K83" s="84">
        <v>0</v>
      </c>
      <c r="L83" s="84">
        <v>0</v>
      </c>
      <c r="M83" s="84">
        <v>0</v>
      </c>
      <c r="N83" s="84"/>
      <c r="P83" s="84" t="s">
        <v>425</v>
      </c>
      <c r="Q83" s="84">
        <v>0</v>
      </c>
      <c r="R83" s="84">
        <v>0</v>
      </c>
      <c r="S83" s="84">
        <v>0</v>
      </c>
      <c r="T83" s="84">
        <v>0</v>
      </c>
      <c r="U83" s="84"/>
      <c r="W83" s="84" t="s">
        <v>425</v>
      </c>
      <c r="X83" s="84">
        <v>0</v>
      </c>
      <c r="Y83" s="84">
        <v>0</v>
      </c>
      <c r="Z83" s="84">
        <v>0</v>
      </c>
      <c r="AA83" s="84">
        <v>0</v>
      </c>
      <c r="AB83" s="84"/>
    </row>
    <row r="84" spans="2:28" x14ac:dyDescent="0.3">
      <c r="B84" s="84" t="s">
        <v>426</v>
      </c>
      <c r="C84" s="84">
        <v>0</v>
      </c>
      <c r="D84" s="84">
        <v>0</v>
      </c>
      <c r="E84" s="84">
        <v>0</v>
      </c>
      <c r="F84" s="84">
        <v>0</v>
      </c>
      <c r="G84" s="84"/>
      <c r="I84" s="84" t="s">
        <v>426</v>
      </c>
      <c r="J84" s="84">
        <v>0</v>
      </c>
      <c r="K84" s="84">
        <v>0</v>
      </c>
      <c r="L84" s="84">
        <v>0</v>
      </c>
      <c r="M84" s="84">
        <v>0</v>
      </c>
      <c r="N84" s="84"/>
      <c r="P84" s="84" t="s">
        <v>426</v>
      </c>
      <c r="Q84" s="84">
        <v>0</v>
      </c>
      <c r="R84" s="84">
        <v>0</v>
      </c>
      <c r="S84" s="84">
        <v>0</v>
      </c>
      <c r="T84" s="84">
        <v>0</v>
      </c>
      <c r="U84" s="84"/>
      <c r="W84" s="84" t="s">
        <v>426</v>
      </c>
      <c r="X84" s="84">
        <v>0</v>
      </c>
      <c r="Y84" s="84">
        <v>0</v>
      </c>
      <c r="Z84" s="84">
        <v>0</v>
      </c>
      <c r="AA84" s="84">
        <v>0</v>
      </c>
      <c r="AB84" s="84"/>
    </row>
    <row r="85" spans="2:28" x14ac:dyDescent="0.3">
      <c r="B85" s="84" t="s">
        <v>427</v>
      </c>
      <c r="C85" s="84">
        <v>0</v>
      </c>
      <c r="D85" s="84">
        <v>0</v>
      </c>
      <c r="E85" s="84">
        <v>0</v>
      </c>
      <c r="F85" s="84">
        <v>0</v>
      </c>
      <c r="G85" s="84"/>
      <c r="I85" s="84" t="s">
        <v>427</v>
      </c>
      <c r="J85" s="84">
        <v>0</v>
      </c>
      <c r="K85" s="84">
        <v>0</v>
      </c>
      <c r="L85" s="84">
        <v>0</v>
      </c>
      <c r="M85" s="84">
        <v>0</v>
      </c>
      <c r="N85" s="84"/>
      <c r="P85" s="84" t="s">
        <v>427</v>
      </c>
      <c r="Q85" s="84">
        <v>0</v>
      </c>
      <c r="R85" s="84">
        <v>0</v>
      </c>
      <c r="S85" s="84">
        <v>0</v>
      </c>
      <c r="T85" s="84">
        <v>0</v>
      </c>
      <c r="U85" s="84"/>
      <c r="W85" s="84" t="s">
        <v>427</v>
      </c>
      <c r="X85" s="84">
        <v>0</v>
      </c>
      <c r="Y85" s="84">
        <v>0</v>
      </c>
      <c r="Z85" s="84">
        <v>0</v>
      </c>
      <c r="AA85" s="84">
        <v>0</v>
      </c>
      <c r="AB85" s="84"/>
    </row>
    <row r="86" spans="2:28" x14ac:dyDescent="0.3">
      <c r="B86" s="84" t="s">
        <v>428</v>
      </c>
      <c r="C86" s="84">
        <v>0</v>
      </c>
      <c r="D86" s="84">
        <v>0</v>
      </c>
      <c r="E86" s="84">
        <v>0</v>
      </c>
      <c r="F86" s="84">
        <v>0</v>
      </c>
      <c r="G86" s="84"/>
      <c r="I86" s="84" t="s">
        <v>428</v>
      </c>
      <c r="J86" s="84">
        <v>0</v>
      </c>
      <c r="K86" s="84">
        <v>0</v>
      </c>
      <c r="L86" s="84">
        <v>0</v>
      </c>
      <c r="M86" s="84">
        <v>0</v>
      </c>
      <c r="N86" s="84"/>
      <c r="P86" s="84" t="s">
        <v>428</v>
      </c>
      <c r="Q86" s="84">
        <v>0</v>
      </c>
      <c r="R86" s="84">
        <v>0</v>
      </c>
      <c r="S86" s="84">
        <v>0</v>
      </c>
      <c r="T86" s="84">
        <v>0</v>
      </c>
      <c r="U86" s="84"/>
      <c r="W86" s="84" t="s">
        <v>428</v>
      </c>
      <c r="X86" s="84">
        <v>0</v>
      </c>
      <c r="Y86" s="84">
        <v>0</v>
      </c>
      <c r="Z86" s="84">
        <v>0</v>
      </c>
      <c r="AA86" s="84">
        <v>0</v>
      </c>
      <c r="AB86" s="84"/>
    </row>
    <row r="87" spans="2:28" x14ac:dyDescent="0.3">
      <c r="B87" s="84" t="s">
        <v>429</v>
      </c>
      <c r="C87" s="84">
        <v>115</v>
      </c>
      <c r="D87" s="84">
        <v>134</v>
      </c>
      <c r="E87" s="84">
        <v>181</v>
      </c>
      <c r="F87" s="84">
        <v>169</v>
      </c>
      <c r="G87" s="84"/>
      <c r="I87" s="84" t="s">
        <v>429</v>
      </c>
      <c r="J87" s="84">
        <v>115</v>
      </c>
      <c r="K87" s="84">
        <v>148</v>
      </c>
      <c r="L87" s="84">
        <v>181</v>
      </c>
      <c r="M87" s="84">
        <v>170</v>
      </c>
      <c r="N87" s="84"/>
      <c r="P87" s="84" t="s">
        <v>429</v>
      </c>
      <c r="Q87" s="84">
        <v>132</v>
      </c>
      <c r="R87" s="84">
        <v>241</v>
      </c>
      <c r="S87" s="84">
        <v>170</v>
      </c>
      <c r="T87" s="84">
        <v>0</v>
      </c>
      <c r="U87" s="84"/>
      <c r="W87" s="84" t="s">
        <v>429</v>
      </c>
      <c r="X87" s="84">
        <v>301</v>
      </c>
      <c r="Y87" s="84">
        <v>151</v>
      </c>
      <c r="Z87" s="84">
        <v>181</v>
      </c>
      <c r="AA87" s="84">
        <v>170</v>
      </c>
      <c r="AB87" s="84"/>
    </row>
    <row r="88" spans="2:28" x14ac:dyDescent="0.3">
      <c r="B88" s="84" t="s">
        <v>430</v>
      </c>
      <c r="C88" s="84">
        <v>67735</v>
      </c>
      <c r="D88" s="84">
        <v>53318</v>
      </c>
      <c r="E88" s="84">
        <v>51709</v>
      </c>
      <c r="F88" s="84">
        <v>46095</v>
      </c>
      <c r="G88" s="84"/>
      <c r="I88" s="84" t="s">
        <v>430</v>
      </c>
      <c r="J88" s="84">
        <v>70099</v>
      </c>
      <c r="K88" s="84">
        <v>59821</v>
      </c>
      <c r="L88" s="84">
        <v>48980</v>
      </c>
      <c r="M88" s="84">
        <v>40308</v>
      </c>
      <c r="N88" s="84"/>
      <c r="P88" s="84" t="s">
        <v>430</v>
      </c>
      <c r="Q88" s="84">
        <v>61821</v>
      </c>
      <c r="R88" s="84">
        <v>52936</v>
      </c>
      <c r="S88" s="84">
        <v>44865</v>
      </c>
      <c r="T88" s="84">
        <v>47141</v>
      </c>
      <c r="U88" s="84"/>
      <c r="W88" s="84" t="s">
        <v>430</v>
      </c>
      <c r="X88" s="84">
        <v>84297</v>
      </c>
      <c r="Y88" s="84">
        <v>61103</v>
      </c>
      <c r="Z88" s="84">
        <v>60601</v>
      </c>
      <c r="AA88" s="84">
        <v>56420</v>
      </c>
      <c r="AB88" s="84"/>
    </row>
    <row r="89" spans="2:28" x14ac:dyDescent="0.3">
      <c r="B89" s="84" t="s">
        <v>431</v>
      </c>
      <c r="C89" s="84">
        <v>0</v>
      </c>
      <c r="D89" s="84">
        <v>0</v>
      </c>
      <c r="E89" s="84">
        <v>0</v>
      </c>
      <c r="F89" s="84">
        <v>0</v>
      </c>
      <c r="G89" s="84"/>
      <c r="I89" s="84" t="s">
        <v>431</v>
      </c>
      <c r="J89" s="84">
        <v>0</v>
      </c>
      <c r="K89" s="84">
        <v>0</v>
      </c>
      <c r="L89" s="84">
        <v>0</v>
      </c>
      <c r="M89" s="84">
        <v>0</v>
      </c>
      <c r="N89" s="84"/>
      <c r="P89" s="84" t="s">
        <v>431</v>
      </c>
      <c r="Q89" s="84">
        <v>0</v>
      </c>
      <c r="R89" s="84">
        <v>0</v>
      </c>
      <c r="S89" s="84">
        <v>0</v>
      </c>
      <c r="T89" s="84">
        <v>0</v>
      </c>
      <c r="U89" s="84"/>
      <c r="W89" s="84" t="s">
        <v>431</v>
      </c>
      <c r="X89" s="84">
        <v>0</v>
      </c>
      <c r="Y89" s="84">
        <v>0</v>
      </c>
      <c r="Z89" s="84">
        <v>0</v>
      </c>
      <c r="AA89" s="84">
        <v>0</v>
      </c>
      <c r="AB89" s="84"/>
    </row>
    <row r="90" spans="2:28" x14ac:dyDescent="0.3">
      <c r="B90" s="84" t="s">
        <v>432</v>
      </c>
      <c r="C90" s="84">
        <v>0</v>
      </c>
      <c r="D90" s="84">
        <v>0</v>
      </c>
      <c r="E90" s="84">
        <v>0</v>
      </c>
      <c r="F90" s="84">
        <v>0</v>
      </c>
      <c r="G90" s="84"/>
      <c r="I90" s="84" t="s">
        <v>432</v>
      </c>
      <c r="J90" s="84">
        <v>0</v>
      </c>
      <c r="K90" s="84">
        <v>0</v>
      </c>
      <c r="L90" s="84">
        <v>0</v>
      </c>
      <c r="M90" s="84">
        <v>0</v>
      </c>
      <c r="N90" s="84"/>
      <c r="P90" s="84" t="s">
        <v>432</v>
      </c>
      <c r="Q90" s="84">
        <v>0</v>
      </c>
      <c r="R90" s="84">
        <v>0</v>
      </c>
      <c r="S90" s="84">
        <v>0</v>
      </c>
      <c r="T90" s="84">
        <v>0</v>
      </c>
      <c r="U90" s="84"/>
      <c r="W90" s="84" t="s">
        <v>432</v>
      </c>
      <c r="X90" s="84">
        <v>0</v>
      </c>
      <c r="Y90" s="84">
        <v>0</v>
      </c>
      <c r="Z90" s="84">
        <v>0</v>
      </c>
      <c r="AA90" s="84">
        <v>0</v>
      </c>
      <c r="AB90" s="84"/>
    </row>
    <row r="91" spans="2:28" x14ac:dyDescent="0.3">
      <c r="B91" s="84" t="s">
        <v>433</v>
      </c>
      <c r="C91" s="84">
        <v>0</v>
      </c>
      <c r="D91" s="84">
        <v>0</v>
      </c>
      <c r="E91" s="84">
        <v>0</v>
      </c>
      <c r="F91" s="84">
        <v>0</v>
      </c>
      <c r="G91" s="84"/>
      <c r="I91" s="84" t="s">
        <v>433</v>
      </c>
      <c r="J91" s="84">
        <v>0</v>
      </c>
      <c r="K91" s="84">
        <v>0</v>
      </c>
      <c r="L91" s="84">
        <v>0</v>
      </c>
      <c r="M91" s="84">
        <v>0</v>
      </c>
      <c r="N91" s="84"/>
      <c r="P91" s="84" t="s">
        <v>433</v>
      </c>
      <c r="Q91" s="84">
        <v>0</v>
      </c>
      <c r="R91" s="84">
        <v>0</v>
      </c>
      <c r="S91" s="84">
        <v>0</v>
      </c>
      <c r="T91" s="84">
        <v>0</v>
      </c>
      <c r="U91" s="84"/>
      <c r="W91" s="84" t="s">
        <v>433</v>
      </c>
      <c r="X91" s="84">
        <v>0</v>
      </c>
      <c r="Y91" s="84">
        <v>0</v>
      </c>
      <c r="Z91" s="84">
        <v>0</v>
      </c>
      <c r="AA91" s="84">
        <v>0</v>
      </c>
      <c r="AB91" s="84"/>
    </row>
    <row r="92" spans="2:28" x14ac:dyDescent="0.3">
      <c r="B92" s="84" t="s">
        <v>434</v>
      </c>
      <c r="C92" s="84">
        <v>0</v>
      </c>
      <c r="D92" s="84">
        <v>0</v>
      </c>
      <c r="E92" s="84">
        <v>0</v>
      </c>
      <c r="F92" s="84">
        <v>0</v>
      </c>
      <c r="G92" s="84"/>
      <c r="I92" s="84" t="s">
        <v>434</v>
      </c>
      <c r="J92" s="84">
        <v>0</v>
      </c>
      <c r="K92" s="84">
        <v>0</v>
      </c>
      <c r="L92" s="84">
        <v>0</v>
      </c>
      <c r="M92" s="84">
        <v>0</v>
      </c>
      <c r="N92" s="84"/>
      <c r="P92" s="84" t="s">
        <v>434</v>
      </c>
      <c r="Q92" s="84">
        <v>0</v>
      </c>
      <c r="R92" s="84">
        <v>0</v>
      </c>
      <c r="S92" s="84">
        <v>0</v>
      </c>
      <c r="T92" s="84">
        <v>0</v>
      </c>
      <c r="U92" s="84"/>
      <c r="W92" s="84" t="s">
        <v>434</v>
      </c>
      <c r="X92" s="84">
        <v>0</v>
      </c>
      <c r="Y92" s="84">
        <v>0</v>
      </c>
      <c r="Z92" s="84">
        <v>0</v>
      </c>
      <c r="AA92" s="84">
        <v>0</v>
      </c>
      <c r="AB92" s="84"/>
    </row>
    <row r="93" spans="2:28" x14ac:dyDescent="0.3">
      <c r="B93" s="84" t="s">
        <v>435</v>
      </c>
      <c r="C93" s="84">
        <v>0</v>
      </c>
      <c r="D93" s="84">
        <v>0</v>
      </c>
      <c r="E93" s="84">
        <v>0</v>
      </c>
      <c r="F93" s="84">
        <v>0</v>
      </c>
      <c r="G93" s="84"/>
      <c r="I93" s="84" t="s">
        <v>435</v>
      </c>
      <c r="J93" s="84">
        <v>0</v>
      </c>
      <c r="K93" s="84">
        <v>0</v>
      </c>
      <c r="L93" s="84">
        <v>0</v>
      </c>
      <c r="M93" s="84">
        <v>0</v>
      </c>
      <c r="N93" s="84"/>
      <c r="P93" s="84" t="s">
        <v>435</v>
      </c>
      <c r="Q93" s="84">
        <v>0</v>
      </c>
      <c r="R93" s="84">
        <v>0</v>
      </c>
      <c r="S93" s="84">
        <v>0</v>
      </c>
      <c r="T93" s="84">
        <v>0</v>
      </c>
      <c r="U93" s="84"/>
      <c r="W93" s="84" t="s">
        <v>435</v>
      </c>
      <c r="X93" s="84">
        <v>0</v>
      </c>
      <c r="Y93" s="84">
        <v>0</v>
      </c>
      <c r="Z93" s="84">
        <v>0</v>
      </c>
      <c r="AA93" s="84">
        <v>0</v>
      </c>
      <c r="AB93" s="84"/>
    </row>
    <row r="94" spans="2:28" x14ac:dyDescent="0.3">
      <c r="B94" s="84" t="s">
        <v>436</v>
      </c>
      <c r="C94" s="84">
        <v>2698</v>
      </c>
      <c r="D94" s="84">
        <v>2835</v>
      </c>
      <c r="E94" s="84">
        <v>2169</v>
      </c>
      <c r="F94" s="84">
        <v>0</v>
      </c>
      <c r="G94" s="84"/>
      <c r="I94" s="84" t="s">
        <v>436</v>
      </c>
      <c r="J94" s="84">
        <v>1977</v>
      </c>
      <c r="K94" s="84">
        <v>2776</v>
      </c>
      <c r="L94" s="84">
        <v>2403</v>
      </c>
      <c r="M94" s="84">
        <v>0</v>
      </c>
      <c r="N94" s="84"/>
      <c r="P94" s="84" t="s">
        <v>436</v>
      </c>
      <c r="Q94" s="84">
        <v>2747</v>
      </c>
      <c r="R94" s="84">
        <v>2423</v>
      </c>
      <c r="S94" s="84">
        <v>0</v>
      </c>
      <c r="T94" s="84">
        <v>0</v>
      </c>
      <c r="U94" s="84"/>
      <c r="W94" s="84" t="s">
        <v>436</v>
      </c>
      <c r="X94" s="84">
        <v>2463</v>
      </c>
      <c r="Y94" s="84">
        <v>2861</v>
      </c>
      <c r="Z94" s="84">
        <v>1890</v>
      </c>
      <c r="AA94" s="84">
        <v>0</v>
      </c>
      <c r="AB94" s="84"/>
    </row>
    <row r="95" spans="2:28" x14ac:dyDescent="0.3">
      <c r="B95" s="84" t="s">
        <v>437</v>
      </c>
      <c r="C95" s="84">
        <v>0</v>
      </c>
      <c r="D95" s="84">
        <v>0</v>
      </c>
      <c r="E95" s="84">
        <v>0</v>
      </c>
      <c r="F95" s="84">
        <v>0</v>
      </c>
      <c r="G95" s="84"/>
      <c r="I95" s="84" t="s">
        <v>437</v>
      </c>
      <c r="J95" s="84">
        <v>0</v>
      </c>
      <c r="K95" s="84">
        <v>0</v>
      </c>
      <c r="L95" s="84">
        <v>0</v>
      </c>
      <c r="M95" s="84">
        <v>0</v>
      </c>
      <c r="N95" s="84"/>
      <c r="P95" s="84" t="s">
        <v>437</v>
      </c>
      <c r="Q95" s="84">
        <v>0</v>
      </c>
      <c r="R95" s="84">
        <v>0</v>
      </c>
      <c r="S95" s="84">
        <v>0</v>
      </c>
      <c r="T95" s="84">
        <v>0</v>
      </c>
      <c r="U95" s="84"/>
      <c r="W95" s="84" t="s">
        <v>437</v>
      </c>
      <c r="X95" s="84">
        <v>0</v>
      </c>
      <c r="Y95" s="84">
        <v>0</v>
      </c>
      <c r="Z95" s="84">
        <v>0</v>
      </c>
      <c r="AA95" s="84">
        <v>0</v>
      </c>
      <c r="AB95" s="84"/>
    </row>
    <row r="96" spans="2:28" x14ac:dyDescent="0.3">
      <c r="B96" s="84" t="s">
        <v>438</v>
      </c>
      <c r="C96" s="84">
        <v>0</v>
      </c>
      <c r="D96" s="84">
        <v>0</v>
      </c>
      <c r="E96" s="84">
        <v>0</v>
      </c>
      <c r="F96" s="84">
        <v>1661</v>
      </c>
      <c r="G96" s="84"/>
      <c r="I96" s="84" t="s">
        <v>438</v>
      </c>
      <c r="J96" s="84">
        <v>0</v>
      </c>
      <c r="K96" s="84">
        <v>0</v>
      </c>
      <c r="L96" s="84">
        <v>0</v>
      </c>
      <c r="M96" s="84">
        <v>1596</v>
      </c>
      <c r="N96" s="84"/>
      <c r="P96" s="84" t="s">
        <v>438</v>
      </c>
      <c r="Q96" s="84">
        <v>0</v>
      </c>
      <c r="R96" s="84">
        <v>0</v>
      </c>
      <c r="S96" s="84">
        <v>1576</v>
      </c>
      <c r="T96" s="84">
        <v>299</v>
      </c>
      <c r="U96" s="84"/>
      <c r="W96" s="84" t="s">
        <v>438</v>
      </c>
      <c r="X96" s="84">
        <v>0</v>
      </c>
      <c r="Y96" s="84">
        <v>0</v>
      </c>
      <c r="Z96" s="84">
        <v>0</v>
      </c>
      <c r="AA96" s="84">
        <v>1635</v>
      </c>
      <c r="AB96" s="84"/>
    </row>
    <row r="97" spans="2:28" x14ac:dyDescent="0.3">
      <c r="B97" s="84" t="s">
        <v>439</v>
      </c>
      <c r="C97" s="84">
        <v>2698</v>
      </c>
      <c r="D97" s="84">
        <v>2835</v>
      </c>
      <c r="E97" s="84">
        <v>2169</v>
      </c>
      <c r="F97" s="84">
        <v>1661</v>
      </c>
      <c r="G97" s="84"/>
      <c r="I97" s="84" t="s">
        <v>439</v>
      </c>
      <c r="J97" s="84">
        <v>1977</v>
      </c>
      <c r="K97" s="84">
        <v>2776</v>
      </c>
      <c r="L97" s="84">
        <v>2403</v>
      </c>
      <c r="M97" s="84">
        <v>1596</v>
      </c>
      <c r="N97" s="84"/>
      <c r="P97" s="84" t="s">
        <v>439</v>
      </c>
      <c r="Q97" s="84">
        <v>2747</v>
      </c>
      <c r="R97" s="84">
        <v>2423</v>
      </c>
      <c r="S97" s="84">
        <v>1576</v>
      </c>
      <c r="T97" s="84">
        <v>299</v>
      </c>
      <c r="U97" s="84"/>
      <c r="W97" s="84" t="s">
        <v>439</v>
      </c>
      <c r="X97" s="84">
        <v>2463</v>
      </c>
      <c r="Y97" s="84">
        <v>2861</v>
      </c>
      <c r="Z97" s="84">
        <v>1890</v>
      </c>
      <c r="AA97" s="84">
        <v>1635</v>
      </c>
      <c r="AB97" s="84"/>
    </row>
    <row r="98" spans="2:28" x14ac:dyDescent="0.3">
      <c r="B98" s="84" t="s">
        <v>440</v>
      </c>
      <c r="C98" s="84">
        <v>70433</v>
      </c>
      <c r="D98" s="84">
        <v>56153</v>
      </c>
      <c r="E98" s="84">
        <v>53878</v>
      </c>
      <c r="F98" s="84">
        <v>47756</v>
      </c>
      <c r="G98" s="84"/>
      <c r="I98" s="84" t="s">
        <v>440</v>
      </c>
      <c r="J98" s="84">
        <v>72076</v>
      </c>
      <c r="K98" s="84">
        <v>62597</v>
      </c>
      <c r="L98" s="84">
        <v>51384</v>
      </c>
      <c r="M98" s="84">
        <v>41904</v>
      </c>
      <c r="N98" s="84"/>
      <c r="P98" s="84" t="s">
        <v>440</v>
      </c>
      <c r="Q98" s="84">
        <v>64569</v>
      </c>
      <c r="R98" s="84">
        <v>55358</v>
      </c>
      <c r="S98" s="84">
        <v>46441</v>
      </c>
      <c r="T98" s="84">
        <v>47440</v>
      </c>
      <c r="U98" s="84"/>
      <c r="W98" s="84" t="s">
        <v>440</v>
      </c>
      <c r="X98" s="84">
        <v>86760</v>
      </c>
      <c r="Y98" s="84">
        <v>63964</v>
      </c>
      <c r="Z98" s="84">
        <v>62491</v>
      </c>
      <c r="AA98" s="84">
        <v>58055</v>
      </c>
      <c r="AB98" s="84"/>
    </row>
    <row r="99" spans="2:28" x14ac:dyDescent="0.3">
      <c r="B99" s="84" t="s">
        <v>441</v>
      </c>
      <c r="C99" s="84">
        <v>86689</v>
      </c>
      <c r="D99" s="84">
        <v>83402</v>
      </c>
      <c r="E99" s="84">
        <v>42924</v>
      </c>
      <c r="F99" s="84">
        <v>32249</v>
      </c>
      <c r="G99" s="84"/>
      <c r="I99" s="84" t="s">
        <v>441</v>
      </c>
      <c r="J99" s="84">
        <v>86879</v>
      </c>
      <c r="K99" s="84">
        <v>85121</v>
      </c>
      <c r="L99" s="84">
        <v>85837</v>
      </c>
      <c r="M99" s="84">
        <v>42678</v>
      </c>
      <c r="N99" s="84"/>
      <c r="P99" s="84" t="s">
        <v>441</v>
      </c>
      <c r="Q99" s="84">
        <v>85120</v>
      </c>
      <c r="R99" s="84">
        <v>86092</v>
      </c>
      <c r="S99" s="84">
        <v>42734</v>
      </c>
      <c r="T99" s="84">
        <v>32154</v>
      </c>
      <c r="U99" s="84"/>
      <c r="W99" s="84" t="s">
        <v>441</v>
      </c>
      <c r="X99" s="84">
        <v>85030</v>
      </c>
      <c r="Y99" s="84">
        <v>86041</v>
      </c>
      <c r="Z99" s="84">
        <v>42801</v>
      </c>
      <c r="AA99" s="84">
        <v>32230</v>
      </c>
      <c r="AB99" s="84"/>
    </row>
    <row r="100" spans="2:28" x14ac:dyDescent="0.3">
      <c r="B100" s="84" t="s">
        <v>442</v>
      </c>
      <c r="C100" s="84">
        <v>14193</v>
      </c>
      <c r="D100" s="84">
        <v>1363</v>
      </c>
      <c r="E100" s="84">
        <v>52617</v>
      </c>
      <c r="F100" s="84">
        <v>56086</v>
      </c>
      <c r="G100" s="84"/>
      <c r="I100" s="84" t="s">
        <v>442</v>
      </c>
      <c r="J100" s="84">
        <v>14885</v>
      </c>
      <c r="K100" s="84">
        <v>7946</v>
      </c>
      <c r="L100" s="84">
        <v>10046</v>
      </c>
      <c r="M100" s="84">
        <v>51322</v>
      </c>
      <c r="N100" s="84"/>
      <c r="P100" s="84" t="s">
        <v>442</v>
      </c>
      <c r="Q100" s="84">
        <v>8066</v>
      </c>
      <c r="R100" s="84">
        <v>11115</v>
      </c>
      <c r="S100" s="84">
        <v>52089</v>
      </c>
      <c r="T100" s="84">
        <v>54721</v>
      </c>
      <c r="U100" s="84"/>
      <c r="W100" s="84" t="s">
        <v>442</v>
      </c>
      <c r="X100" s="84">
        <v>8167</v>
      </c>
      <c r="Y100" s="84">
        <v>14148</v>
      </c>
      <c r="Z100" s="84">
        <v>51887</v>
      </c>
      <c r="AA100" s="84">
        <v>55601</v>
      </c>
      <c r="AB100" s="84"/>
    </row>
    <row r="101" spans="2:28" x14ac:dyDescent="0.3">
      <c r="B101" s="84" t="s">
        <v>443</v>
      </c>
      <c r="C101" s="84">
        <v>11002</v>
      </c>
      <c r="D101" s="84">
        <v>4309</v>
      </c>
      <c r="E101" s="84">
        <v>5864</v>
      </c>
      <c r="F101" s="84">
        <v>0</v>
      </c>
      <c r="G101" s="84"/>
      <c r="I101" s="84" t="s">
        <v>443</v>
      </c>
      <c r="J101" s="84">
        <v>18770</v>
      </c>
      <c r="K101" s="84">
        <v>12648</v>
      </c>
      <c r="L101" s="84">
        <v>5864</v>
      </c>
      <c r="M101" s="84">
        <v>0</v>
      </c>
      <c r="N101" s="84"/>
      <c r="P101" s="84" t="s">
        <v>443</v>
      </c>
      <c r="Q101" s="84">
        <v>11501</v>
      </c>
      <c r="R101" s="84">
        <v>5864</v>
      </c>
      <c r="S101" s="84">
        <v>0</v>
      </c>
      <c r="T101" s="84">
        <v>0</v>
      </c>
      <c r="U101" s="84"/>
      <c r="W101" s="84" t="s">
        <v>443</v>
      </c>
      <c r="X101" s="84">
        <v>10791</v>
      </c>
      <c r="Y101" s="84">
        <v>33988</v>
      </c>
      <c r="Z101" s="84">
        <v>5010</v>
      </c>
      <c r="AA101" s="84">
        <v>0</v>
      </c>
      <c r="AB101" s="84"/>
    </row>
    <row r="102" spans="2:28" x14ac:dyDescent="0.3">
      <c r="B102" s="84" t="s">
        <v>444</v>
      </c>
      <c r="C102" s="84">
        <v>0</v>
      </c>
      <c r="D102" s="84">
        <v>0</v>
      </c>
      <c r="E102" s="84">
        <v>0</v>
      </c>
      <c r="F102" s="84">
        <v>0</v>
      </c>
      <c r="G102" s="84"/>
      <c r="I102" s="84" t="s">
        <v>444</v>
      </c>
      <c r="J102" s="84">
        <v>0</v>
      </c>
      <c r="K102" s="84">
        <v>0</v>
      </c>
      <c r="L102" s="84">
        <v>0</v>
      </c>
      <c r="M102" s="84">
        <v>0</v>
      </c>
      <c r="N102" s="84"/>
      <c r="P102" s="84" t="s">
        <v>444</v>
      </c>
      <c r="Q102" s="84">
        <v>0</v>
      </c>
      <c r="R102" s="84">
        <v>0</v>
      </c>
      <c r="S102" s="84">
        <v>0</v>
      </c>
      <c r="T102" s="84">
        <v>0</v>
      </c>
      <c r="U102" s="84"/>
      <c r="W102" s="84" t="s">
        <v>444</v>
      </c>
      <c r="X102" s="84">
        <v>0</v>
      </c>
      <c r="Y102" s="84">
        <v>0</v>
      </c>
      <c r="Z102" s="84">
        <v>0</v>
      </c>
      <c r="AA102" s="84">
        <v>0</v>
      </c>
      <c r="AB102" s="84"/>
    </row>
    <row r="103" spans="2:28" x14ac:dyDescent="0.3">
      <c r="B103" s="84" t="s">
        <v>445</v>
      </c>
      <c r="C103" s="84">
        <v>2786</v>
      </c>
      <c r="D103" s="84">
        <v>0</v>
      </c>
      <c r="E103" s="84">
        <v>11102</v>
      </c>
      <c r="F103" s="84">
        <v>9037</v>
      </c>
      <c r="G103" s="84"/>
      <c r="I103" s="84" t="s">
        <v>445</v>
      </c>
      <c r="J103" s="84">
        <v>2786</v>
      </c>
      <c r="K103" s="84">
        <v>0</v>
      </c>
      <c r="L103" s="84">
        <v>11102</v>
      </c>
      <c r="M103" s="84">
        <v>9037</v>
      </c>
      <c r="N103" s="84"/>
      <c r="P103" s="84" t="s">
        <v>445</v>
      </c>
      <c r="Q103" s="84">
        <v>0</v>
      </c>
      <c r="R103" s="84">
        <v>11102</v>
      </c>
      <c r="S103" s="84">
        <v>9037</v>
      </c>
      <c r="T103" s="84">
        <v>6780</v>
      </c>
      <c r="U103" s="84"/>
      <c r="W103" s="84" t="s">
        <v>445</v>
      </c>
      <c r="X103" s="84">
        <v>2786</v>
      </c>
      <c r="Y103" s="84">
        <v>13220</v>
      </c>
      <c r="Z103" s="84">
        <v>11102</v>
      </c>
      <c r="AA103" s="84">
        <v>9037</v>
      </c>
      <c r="AB103" s="84"/>
    </row>
    <row r="104" spans="2:28" x14ac:dyDescent="0.3">
      <c r="B104" s="84" t="s">
        <v>446</v>
      </c>
      <c r="C104" s="84">
        <v>0</v>
      </c>
      <c r="D104" s="84">
        <v>0</v>
      </c>
      <c r="E104" s="84">
        <v>0</v>
      </c>
      <c r="F104" s="84">
        <v>0</v>
      </c>
      <c r="G104" s="84"/>
      <c r="I104" s="84" t="s">
        <v>446</v>
      </c>
      <c r="J104" s="84">
        <v>0</v>
      </c>
      <c r="K104" s="84">
        <v>0</v>
      </c>
      <c r="L104" s="84">
        <v>0</v>
      </c>
      <c r="M104" s="84">
        <v>0</v>
      </c>
      <c r="N104" s="84"/>
      <c r="P104" s="84" t="s">
        <v>446</v>
      </c>
      <c r="Q104" s="84">
        <v>0</v>
      </c>
      <c r="R104" s="84">
        <v>0</v>
      </c>
      <c r="S104" s="84">
        <v>0</v>
      </c>
      <c r="T104" s="84">
        <v>0</v>
      </c>
      <c r="U104" s="84"/>
      <c r="W104" s="84" t="s">
        <v>446</v>
      </c>
      <c r="X104" s="84">
        <v>0</v>
      </c>
      <c r="Y104" s="84">
        <v>0</v>
      </c>
      <c r="Z104" s="84">
        <v>0</v>
      </c>
      <c r="AA104" s="84">
        <v>0</v>
      </c>
      <c r="AB104" s="84"/>
    </row>
    <row r="105" spans="2:28" x14ac:dyDescent="0.3">
      <c r="B105" s="84" t="s">
        <v>447</v>
      </c>
      <c r="C105" s="84">
        <v>0</v>
      </c>
      <c r="D105" s="84">
        <v>0</v>
      </c>
      <c r="E105" s="84">
        <v>0</v>
      </c>
      <c r="F105" s="84">
        <v>0</v>
      </c>
      <c r="G105" s="84"/>
      <c r="I105" s="84" t="s">
        <v>447</v>
      </c>
      <c r="J105" s="84">
        <v>0</v>
      </c>
      <c r="K105" s="84">
        <v>0</v>
      </c>
      <c r="L105" s="84">
        <v>0</v>
      </c>
      <c r="M105" s="84">
        <v>0</v>
      </c>
      <c r="N105" s="84"/>
      <c r="P105" s="84" t="s">
        <v>447</v>
      </c>
      <c r="Q105" s="84">
        <v>0</v>
      </c>
      <c r="R105" s="84">
        <v>0</v>
      </c>
      <c r="S105" s="84">
        <v>0</v>
      </c>
      <c r="T105" s="84">
        <v>0</v>
      </c>
      <c r="U105" s="84"/>
      <c r="W105" s="84" t="s">
        <v>447</v>
      </c>
      <c r="X105" s="84">
        <v>0</v>
      </c>
      <c r="Y105" s="84">
        <v>0</v>
      </c>
      <c r="Z105" s="84">
        <v>0</v>
      </c>
      <c r="AA105" s="84">
        <v>0</v>
      </c>
      <c r="AB105" s="84"/>
    </row>
    <row r="106" spans="2:28" x14ac:dyDescent="0.3">
      <c r="B106" s="84" t="s">
        <v>448</v>
      </c>
      <c r="C106" s="84">
        <v>188855</v>
      </c>
      <c r="D106" s="84">
        <v>156892</v>
      </c>
      <c r="E106" s="84">
        <v>125787</v>
      </c>
      <c r="F106" s="84">
        <v>93376</v>
      </c>
      <c r="G106" s="84"/>
      <c r="I106" s="84" t="s">
        <v>448</v>
      </c>
      <c r="J106" s="84">
        <v>196729</v>
      </c>
      <c r="K106" s="84">
        <v>156759</v>
      </c>
      <c r="L106" s="84">
        <v>129684</v>
      </c>
      <c r="M106" s="84">
        <v>95852</v>
      </c>
      <c r="N106" s="84"/>
      <c r="P106" s="84" t="s">
        <v>448</v>
      </c>
      <c r="Q106" s="84">
        <v>164105</v>
      </c>
      <c r="R106" s="84">
        <v>136437</v>
      </c>
      <c r="S106" s="84">
        <v>104488</v>
      </c>
      <c r="T106" s="84">
        <v>75147</v>
      </c>
      <c r="U106" s="84"/>
      <c r="W106" s="84" t="s">
        <v>448</v>
      </c>
      <c r="X106" s="84">
        <v>180870</v>
      </c>
      <c r="Y106" s="84">
        <v>149398</v>
      </c>
      <c r="Z106" s="84">
        <v>115685</v>
      </c>
      <c r="AA106" s="84">
        <v>83319</v>
      </c>
      <c r="AB106" s="84"/>
    </row>
    <row r="107" spans="2:28" x14ac:dyDescent="0.3">
      <c r="B107" s="84" t="s">
        <v>449</v>
      </c>
      <c r="C107" s="84">
        <v>0</v>
      </c>
      <c r="D107" s="84">
        <v>0</v>
      </c>
      <c r="E107" s="84">
        <v>0</v>
      </c>
      <c r="F107" s="84">
        <v>0</v>
      </c>
      <c r="G107" s="84"/>
      <c r="I107" s="84" t="s">
        <v>449</v>
      </c>
      <c r="J107" s="84">
        <v>0</v>
      </c>
      <c r="K107" s="84">
        <v>0</v>
      </c>
      <c r="L107" s="84">
        <v>0</v>
      </c>
      <c r="M107" s="84">
        <v>0</v>
      </c>
      <c r="N107" s="84"/>
      <c r="P107" s="84" t="s">
        <v>449</v>
      </c>
      <c r="Q107" s="84">
        <v>0</v>
      </c>
      <c r="R107" s="84">
        <v>0</v>
      </c>
      <c r="S107" s="84">
        <v>0</v>
      </c>
      <c r="T107" s="84">
        <v>0</v>
      </c>
      <c r="U107" s="84"/>
      <c r="W107" s="84" t="s">
        <v>449</v>
      </c>
      <c r="X107" s="84">
        <v>0</v>
      </c>
      <c r="Y107" s="84">
        <v>0</v>
      </c>
      <c r="Z107" s="84">
        <v>0</v>
      </c>
      <c r="AA107" s="84">
        <v>0</v>
      </c>
      <c r="AB107" s="84"/>
    </row>
    <row r="108" spans="2:28" x14ac:dyDescent="0.3">
      <c r="B108" s="84" t="s">
        <v>450</v>
      </c>
      <c r="C108" s="84">
        <v>0</v>
      </c>
      <c r="D108" s="84">
        <v>0</v>
      </c>
      <c r="E108" s="84">
        <v>0</v>
      </c>
      <c r="F108" s="84">
        <v>0</v>
      </c>
      <c r="G108" s="84"/>
      <c r="I108" s="84" t="s">
        <v>450</v>
      </c>
      <c r="J108" s="84">
        <v>0</v>
      </c>
      <c r="K108" s="84">
        <v>0</v>
      </c>
      <c r="L108" s="84">
        <v>0</v>
      </c>
      <c r="M108" s="84">
        <v>0</v>
      </c>
      <c r="N108" s="84"/>
      <c r="P108" s="84" t="s">
        <v>450</v>
      </c>
      <c r="Q108" s="84">
        <v>0</v>
      </c>
      <c r="R108" s="84">
        <v>0</v>
      </c>
      <c r="S108" s="84">
        <v>0</v>
      </c>
      <c r="T108" s="84">
        <v>0</v>
      </c>
      <c r="U108" s="84"/>
      <c r="W108" s="84" t="s">
        <v>450</v>
      </c>
      <c r="X108" s="84">
        <v>0</v>
      </c>
      <c r="Y108" s="84">
        <v>0</v>
      </c>
      <c r="Z108" s="84">
        <v>0</v>
      </c>
      <c r="AA108" s="84">
        <v>0</v>
      </c>
      <c r="AB108" s="84"/>
    </row>
    <row r="109" spans="2:28" x14ac:dyDescent="0.3">
      <c r="B109" s="84" t="s">
        <v>451</v>
      </c>
      <c r="C109" s="84">
        <v>281521</v>
      </c>
      <c r="D109" s="84">
        <v>237348</v>
      </c>
      <c r="E109" s="84">
        <v>226566</v>
      </c>
      <c r="F109" s="84">
        <v>190748</v>
      </c>
      <c r="G109" s="84"/>
      <c r="I109" s="84" t="s">
        <v>451</v>
      </c>
      <c r="J109" s="84">
        <v>282509</v>
      </c>
      <c r="K109" s="84">
        <v>237179</v>
      </c>
      <c r="L109" s="84">
        <v>230806</v>
      </c>
      <c r="M109" s="84">
        <v>198889</v>
      </c>
      <c r="N109" s="84"/>
      <c r="P109" s="84" t="s">
        <v>451</v>
      </c>
      <c r="Q109" s="84">
        <v>245789</v>
      </c>
      <c r="R109" s="84">
        <v>238883</v>
      </c>
      <c r="S109" s="84">
        <v>208349</v>
      </c>
      <c r="T109" s="84">
        <v>168802</v>
      </c>
      <c r="U109" s="84"/>
      <c r="W109" s="84" t="s">
        <v>451</v>
      </c>
      <c r="X109" s="84">
        <v>266063</v>
      </c>
      <c r="Y109" s="84">
        <v>228818</v>
      </c>
      <c r="Z109" s="84">
        <v>216465</v>
      </c>
      <c r="AA109" s="84">
        <v>180186</v>
      </c>
      <c r="AB109" s="84"/>
    </row>
    <row r="110" spans="2:28" x14ac:dyDescent="0.3">
      <c r="B110" s="84" t="s">
        <v>452</v>
      </c>
      <c r="C110" s="84">
        <v>0</v>
      </c>
      <c r="D110" s="84">
        <v>0</v>
      </c>
      <c r="E110" s="84">
        <v>0</v>
      </c>
      <c r="F110" s="84">
        <v>0</v>
      </c>
      <c r="G110" s="84"/>
      <c r="I110" s="84" t="s">
        <v>452</v>
      </c>
      <c r="J110" s="84">
        <v>0</v>
      </c>
      <c r="K110" s="84">
        <v>0</v>
      </c>
      <c r="L110" s="84">
        <v>0</v>
      </c>
      <c r="M110" s="84">
        <v>0</v>
      </c>
      <c r="N110" s="84"/>
      <c r="P110" s="84" t="s">
        <v>452</v>
      </c>
      <c r="Q110" s="84">
        <v>0</v>
      </c>
      <c r="R110" s="84">
        <v>0</v>
      </c>
      <c r="S110" s="84">
        <v>0</v>
      </c>
      <c r="T110" s="84">
        <v>0</v>
      </c>
      <c r="U110" s="84"/>
      <c r="W110" s="84" t="s">
        <v>452</v>
      </c>
      <c r="X110" s="84">
        <v>0</v>
      </c>
      <c r="Y110" s="84">
        <v>0</v>
      </c>
      <c r="Z110" s="84">
        <v>0</v>
      </c>
      <c r="AA110" s="84">
        <v>0</v>
      </c>
      <c r="AB110" s="84"/>
    </row>
    <row r="111" spans="2:28" x14ac:dyDescent="0.3">
      <c r="B111" s="84" t="s">
        <v>453</v>
      </c>
      <c r="C111" s="84">
        <v>281521</v>
      </c>
      <c r="D111" s="84">
        <v>237348</v>
      </c>
      <c r="E111" s="84">
        <v>226566</v>
      </c>
      <c r="F111" s="84">
        <v>190748</v>
      </c>
      <c r="G111" s="84"/>
      <c r="I111" s="84" t="s">
        <v>453</v>
      </c>
      <c r="J111" s="84">
        <v>282509</v>
      </c>
      <c r="K111" s="84">
        <v>237179</v>
      </c>
      <c r="L111" s="84">
        <v>230806</v>
      </c>
      <c r="M111" s="84">
        <v>198889</v>
      </c>
      <c r="N111" s="84"/>
      <c r="P111" s="84" t="s">
        <v>453</v>
      </c>
      <c r="Q111" s="84">
        <v>245789</v>
      </c>
      <c r="R111" s="84">
        <v>238883</v>
      </c>
      <c r="S111" s="84">
        <v>208349</v>
      </c>
      <c r="T111" s="84">
        <v>168802</v>
      </c>
      <c r="U111" s="84"/>
      <c r="W111" s="84" t="s">
        <v>453</v>
      </c>
      <c r="X111" s="84">
        <v>266063</v>
      </c>
      <c r="Y111" s="84">
        <v>228818</v>
      </c>
      <c r="Z111" s="84">
        <v>216465</v>
      </c>
      <c r="AA111" s="84">
        <v>180186</v>
      </c>
      <c r="AB111" s="84"/>
    </row>
    <row r="112" spans="2:28" x14ac:dyDescent="0.3">
      <c r="B112" s="84" t="s">
        <v>454</v>
      </c>
      <c r="C112" s="84">
        <v>351953</v>
      </c>
      <c r="D112" s="84">
        <v>293501</v>
      </c>
      <c r="E112" s="84">
        <v>280444</v>
      </c>
      <c r="F112" s="84">
        <v>238504</v>
      </c>
      <c r="G112" s="84"/>
      <c r="I112" s="84" t="s">
        <v>454</v>
      </c>
      <c r="J112" s="84">
        <v>354584</v>
      </c>
      <c r="K112" s="84">
        <v>299775</v>
      </c>
      <c r="L112" s="84">
        <v>282190</v>
      </c>
      <c r="M112" s="84">
        <v>240794</v>
      </c>
      <c r="N112" s="84"/>
      <c r="P112" s="84" t="s">
        <v>454</v>
      </c>
      <c r="Q112" s="84">
        <v>310358</v>
      </c>
      <c r="R112" s="84">
        <v>294242</v>
      </c>
      <c r="S112" s="84">
        <v>254789</v>
      </c>
      <c r="T112" s="84">
        <v>216242</v>
      </c>
      <c r="U112" s="84"/>
      <c r="W112" s="84" t="s">
        <v>454</v>
      </c>
      <c r="X112" s="84">
        <v>352823</v>
      </c>
      <c r="Y112" s="84">
        <v>292783</v>
      </c>
      <c r="Z112" s="84">
        <v>278956</v>
      </c>
      <c r="AA112" s="84">
        <v>238241</v>
      </c>
      <c r="AB112" s="84"/>
    </row>
    <row r="115" spans="2:28" x14ac:dyDescent="0.3">
      <c r="B115" t="s">
        <v>753</v>
      </c>
    </row>
    <row r="117" spans="2:28" x14ac:dyDescent="0.3">
      <c r="B117" s="84" t="s">
        <v>346</v>
      </c>
      <c r="C117" s="2">
        <v>42825</v>
      </c>
      <c r="D117" s="2">
        <v>42460</v>
      </c>
      <c r="E117" s="2">
        <v>42094</v>
      </c>
      <c r="F117" s="2">
        <v>41729</v>
      </c>
      <c r="G117" s="84"/>
      <c r="I117" s="84" t="s">
        <v>346</v>
      </c>
      <c r="J117" s="2">
        <v>42916</v>
      </c>
      <c r="K117" s="2">
        <v>42551</v>
      </c>
      <c r="L117" s="2">
        <v>42185</v>
      </c>
      <c r="M117" s="2">
        <v>41820</v>
      </c>
      <c r="N117" s="84"/>
      <c r="P117" s="84" t="s">
        <v>346</v>
      </c>
      <c r="Q117" s="2">
        <v>42643</v>
      </c>
      <c r="R117" s="2">
        <v>42277</v>
      </c>
      <c r="S117" s="2">
        <v>41912</v>
      </c>
      <c r="T117" s="2">
        <v>41547</v>
      </c>
      <c r="U117" s="84"/>
      <c r="W117" s="84" t="s">
        <v>346</v>
      </c>
      <c r="X117" s="2">
        <v>42735</v>
      </c>
      <c r="Y117" s="2">
        <v>42369</v>
      </c>
      <c r="Z117" s="2">
        <v>42004</v>
      </c>
      <c r="AA117" s="2">
        <v>41639</v>
      </c>
      <c r="AB117" s="84"/>
    </row>
    <row r="118" spans="2:28" x14ac:dyDescent="0.3">
      <c r="B118" s="84" t="s">
        <v>455</v>
      </c>
      <c r="C118" s="84">
        <v>43137</v>
      </c>
      <c r="D118" s="84">
        <v>43113</v>
      </c>
      <c r="E118" s="84">
        <v>46247</v>
      </c>
      <c r="F118" s="84">
        <v>45225</v>
      </c>
      <c r="G118" s="84"/>
      <c r="I118" s="84" t="s">
        <v>455</v>
      </c>
      <c r="J118" s="84">
        <v>96129</v>
      </c>
      <c r="K118" s="84">
        <v>88115</v>
      </c>
      <c r="L118" s="84">
        <v>86262</v>
      </c>
      <c r="M118" s="84">
        <v>85399</v>
      </c>
      <c r="N118" s="84"/>
      <c r="P118" s="84" t="s">
        <v>455</v>
      </c>
      <c r="Q118" s="84">
        <v>134775</v>
      </c>
      <c r="R118" s="84">
        <v>129835</v>
      </c>
      <c r="S118" s="84">
        <v>129944</v>
      </c>
      <c r="T118" s="84">
        <v>125543</v>
      </c>
      <c r="U118" s="84"/>
      <c r="W118" s="84" t="s">
        <v>455</v>
      </c>
      <c r="X118" s="84">
        <v>231158</v>
      </c>
      <c r="Y118" s="84">
        <v>209261</v>
      </c>
      <c r="Z118" s="84">
        <v>196977</v>
      </c>
      <c r="AA118" s="84">
        <v>186390</v>
      </c>
      <c r="AB118" s="84"/>
    </row>
    <row r="119" spans="2:28" x14ac:dyDescent="0.3">
      <c r="B119" s="84" t="s">
        <v>456</v>
      </c>
      <c r="C119" s="84">
        <v>43137</v>
      </c>
      <c r="D119" s="84">
        <v>43113</v>
      </c>
      <c r="E119" s="84">
        <v>46247</v>
      </c>
      <c r="F119" s="84">
        <v>45225</v>
      </c>
      <c r="G119" s="84"/>
      <c r="I119" s="84" t="s">
        <v>456</v>
      </c>
      <c r="J119" s="84">
        <v>96129</v>
      </c>
      <c r="K119" s="84">
        <v>88115</v>
      </c>
      <c r="L119" s="84">
        <v>86262</v>
      </c>
      <c r="M119" s="84">
        <v>85399</v>
      </c>
      <c r="N119" s="84"/>
      <c r="P119" s="84" t="s">
        <v>456</v>
      </c>
      <c r="Q119" s="84">
        <v>134775</v>
      </c>
      <c r="R119" s="84">
        <v>129835</v>
      </c>
      <c r="S119" s="84">
        <v>129944</v>
      </c>
      <c r="T119" s="84">
        <v>125543</v>
      </c>
      <c r="U119" s="84"/>
      <c r="W119" s="84" t="s">
        <v>456</v>
      </c>
      <c r="X119" s="84">
        <v>231158</v>
      </c>
      <c r="Y119" s="84">
        <v>209261</v>
      </c>
      <c r="Z119" s="84">
        <v>196977</v>
      </c>
      <c r="AA119" s="84">
        <v>186390</v>
      </c>
      <c r="AB119" s="84"/>
    </row>
    <row r="120" spans="2:28" x14ac:dyDescent="0.3">
      <c r="B120" s="84" t="s">
        <v>457</v>
      </c>
      <c r="C120" s="84">
        <v>0</v>
      </c>
      <c r="D120" s="84">
        <v>0</v>
      </c>
      <c r="E120" s="84">
        <v>0</v>
      </c>
      <c r="F120" s="84">
        <v>0</v>
      </c>
      <c r="G120" s="84"/>
      <c r="I120" s="84" t="s">
        <v>457</v>
      </c>
      <c r="J120" s="84">
        <v>0</v>
      </c>
      <c r="K120" s="84">
        <v>0</v>
      </c>
      <c r="L120" s="84">
        <v>0</v>
      </c>
      <c r="M120" s="84">
        <v>0</v>
      </c>
      <c r="N120" s="84"/>
      <c r="P120" s="84" t="s">
        <v>457</v>
      </c>
      <c r="Q120" s="84">
        <v>0</v>
      </c>
      <c r="R120" s="84">
        <v>0</v>
      </c>
      <c r="S120" s="84">
        <v>0</v>
      </c>
      <c r="T120" s="84">
        <v>0</v>
      </c>
      <c r="U120" s="84"/>
      <c r="W120" s="84" t="s">
        <v>457</v>
      </c>
      <c r="X120" s="84">
        <v>0</v>
      </c>
      <c r="Y120" s="84">
        <v>0</v>
      </c>
      <c r="Z120" s="84">
        <v>0</v>
      </c>
      <c r="AA120" s="84">
        <v>0</v>
      </c>
      <c r="AB120" s="84"/>
    </row>
    <row r="121" spans="2:28" x14ac:dyDescent="0.3">
      <c r="B121" s="84" t="s">
        <v>458</v>
      </c>
      <c r="C121" s="84">
        <v>0</v>
      </c>
      <c r="D121" s="84">
        <v>0</v>
      </c>
      <c r="E121" s="84">
        <v>0</v>
      </c>
      <c r="F121" s="84">
        <v>0</v>
      </c>
      <c r="G121" s="84"/>
      <c r="I121" s="84" t="s">
        <v>458</v>
      </c>
      <c r="J121" s="84">
        <v>0</v>
      </c>
      <c r="K121" s="84">
        <v>0</v>
      </c>
      <c r="L121" s="84">
        <v>0</v>
      </c>
      <c r="M121" s="84">
        <v>0</v>
      </c>
      <c r="N121" s="84"/>
      <c r="P121" s="84" t="s">
        <v>458</v>
      </c>
      <c r="Q121" s="84">
        <v>0</v>
      </c>
      <c r="R121" s="84">
        <v>0</v>
      </c>
      <c r="S121" s="84">
        <v>0</v>
      </c>
      <c r="T121" s="84">
        <v>0</v>
      </c>
      <c r="U121" s="84"/>
      <c r="W121" s="84" t="s">
        <v>458</v>
      </c>
      <c r="X121" s="84">
        <v>0</v>
      </c>
      <c r="Y121" s="84">
        <v>0</v>
      </c>
      <c r="Z121" s="84">
        <v>0</v>
      </c>
      <c r="AA121" s="84">
        <v>0</v>
      </c>
      <c r="AB121" s="84"/>
    </row>
    <row r="122" spans="2:28" x14ac:dyDescent="0.3">
      <c r="B122" s="84" t="s">
        <v>459</v>
      </c>
      <c r="C122" s="84">
        <v>0</v>
      </c>
      <c r="D122" s="84">
        <v>0</v>
      </c>
      <c r="E122" s="84">
        <v>0</v>
      </c>
      <c r="F122" s="84">
        <v>0</v>
      </c>
      <c r="G122" s="84"/>
      <c r="I122" s="84" t="s">
        <v>459</v>
      </c>
      <c r="J122" s="84">
        <v>0</v>
      </c>
      <c r="K122" s="84">
        <v>0</v>
      </c>
      <c r="L122" s="84">
        <v>0</v>
      </c>
      <c r="M122" s="84">
        <v>0</v>
      </c>
      <c r="N122" s="84"/>
      <c r="P122" s="84" t="s">
        <v>459</v>
      </c>
      <c r="Q122" s="84">
        <v>0</v>
      </c>
      <c r="R122" s="84">
        <v>0</v>
      </c>
      <c r="S122" s="84">
        <v>0</v>
      </c>
      <c r="T122" s="84">
        <v>0</v>
      </c>
      <c r="U122" s="84"/>
      <c r="W122" s="84" t="s">
        <v>459</v>
      </c>
      <c r="X122" s="84">
        <v>0</v>
      </c>
      <c r="Y122" s="84">
        <v>0</v>
      </c>
      <c r="Z122" s="84">
        <v>0</v>
      </c>
      <c r="AA122" s="84">
        <v>0</v>
      </c>
      <c r="AB122" s="84"/>
    </row>
    <row r="123" spans="2:28" x14ac:dyDescent="0.3">
      <c r="B123" s="84" t="s">
        <v>460</v>
      </c>
      <c r="C123" s="84">
        <v>0</v>
      </c>
      <c r="D123" s="84">
        <v>0</v>
      </c>
      <c r="E123" s="84">
        <v>0</v>
      </c>
      <c r="F123" s="84">
        <v>0</v>
      </c>
      <c r="G123" s="84"/>
      <c r="I123" s="84" t="s">
        <v>460</v>
      </c>
      <c r="J123" s="84">
        <v>0</v>
      </c>
      <c r="K123" s="84">
        <v>0</v>
      </c>
      <c r="L123" s="84">
        <v>0</v>
      </c>
      <c r="M123" s="84">
        <v>0</v>
      </c>
      <c r="N123" s="84"/>
      <c r="P123" s="84" t="s">
        <v>460</v>
      </c>
      <c r="Q123" s="84">
        <v>0</v>
      </c>
      <c r="R123" s="84">
        <v>0</v>
      </c>
      <c r="S123" s="84">
        <v>0</v>
      </c>
      <c r="T123" s="84">
        <v>0</v>
      </c>
      <c r="U123" s="84"/>
      <c r="W123" s="84" t="s">
        <v>460</v>
      </c>
      <c r="X123" s="84">
        <v>0</v>
      </c>
      <c r="Y123" s="84">
        <v>0</v>
      </c>
      <c r="Z123" s="84">
        <v>0</v>
      </c>
      <c r="AA123" s="84">
        <v>0</v>
      </c>
      <c r="AB123" s="84"/>
    </row>
    <row r="124" spans="2:28" x14ac:dyDescent="0.3">
      <c r="B124" s="84" t="s">
        <v>461</v>
      </c>
      <c r="C124" s="84">
        <v>0</v>
      </c>
      <c r="D124" s="84">
        <v>0</v>
      </c>
      <c r="E124" s="84">
        <v>0</v>
      </c>
      <c r="F124" s="84">
        <v>0</v>
      </c>
      <c r="G124" s="84"/>
      <c r="I124" s="84" t="s">
        <v>461</v>
      </c>
      <c r="J124" s="84">
        <v>0</v>
      </c>
      <c r="K124" s="84">
        <v>0</v>
      </c>
      <c r="L124" s="84">
        <v>0</v>
      </c>
      <c r="M124" s="84">
        <v>0</v>
      </c>
      <c r="N124" s="84"/>
      <c r="P124" s="84" t="s">
        <v>461</v>
      </c>
      <c r="Q124" s="84">
        <v>0</v>
      </c>
      <c r="R124" s="84">
        <v>0</v>
      </c>
      <c r="S124" s="84">
        <v>0</v>
      </c>
      <c r="T124" s="84">
        <v>0</v>
      </c>
      <c r="U124" s="84"/>
      <c r="W124" s="84" t="s">
        <v>461</v>
      </c>
      <c r="X124" s="84">
        <v>0</v>
      </c>
      <c r="Y124" s="84">
        <v>0</v>
      </c>
      <c r="Z124" s="84">
        <v>0</v>
      </c>
      <c r="AA124" s="84">
        <v>0</v>
      </c>
      <c r="AB124" s="84"/>
    </row>
    <row r="125" spans="2:28" x14ac:dyDescent="0.3">
      <c r="B125" s="84" t="s">
        <v>462</v>
      </c>
      <c r="C125" s="84">
        <v>34349</v>
      </c>
      <c r="D125" s="84">
        <v>32646</v>
      </c>
      <c r="E125" s="84">
        <v>33752</v>
      </c>
      <c r="F125" s="84">
        <v>32150</v>
      </c>
      <c r="G125" s="84"/>
      <c r="I125" s="84" t="s">
        <v>462</v>
      </c>
      <c r="J125" s="84">
        <v>78207</v>
      </c>
      <c r="K125" s="84">
        <v>68380</v>
      </c>
      <c r="L125" s="84">
        <v>64648</v>
      </c>
      <c r="M125" s="84">
        <v>65466</v>
      </c>
      <c r="N125" s="84"/>
      <c r="P125" s="84" t="s">
        <v>462</v>
      </c>
      <c r="Q125" s="84">
        <v>106781</v>
      </c>
      <c r="R125" s="84">
        <v>100677</v>
      </c>
      <c r="S125" s="84">
        <v>99015</v>
      </c>
      <c r="T125" s="84">
        <v>99986</v>
      </c>
      <c r="U125" s="84"/>
      <c r="W125" s="84" t="s">
        <v>462</v>
      </c>
      <c r="X125" s="84">
        <v>179736</v>
      </c>
      <c r="Y125" s="84">
        <v>163004</v>
      </c>
      <c r="Z125" s="84">
        <v>150141</v>
      </c>
      <c r="AA125" s="84">
        <v>146471</v>
      </c>
      <c r="AB125" s="84"/>
    </row>
    <row r="126" spans="2:28" x14ac:dyDescent="0.3">
      <c r="B126" s="84" t="s">
        <v>463</v>
      </c>
      <c r="C126" s="84">
        <v>21461</v>
      </c>
      <c r="D126" s="84">
        <v>21183</v>
      </c>
      <c r="E126" s="84">
        <v>22517</v>
      </c>
      <c r="F126" s="84">
        <v>21312</v>
      </c>
      <c r="G126" s="84"/>
      <c r="I126" s="84" t="s">
        <v>463</v>
      </c>
      <c r="J126" s="84">
        <v>47858</v>
      </c>
      <c r="K126" s="84">
        <v>42990</v>
      </c>
      <c r="L126" s="84">
        <v>41372</v>
      </c>
      <c r="M126" s="84">
        <v>40963</v>
      </c>
      <c r="N126" s="84"/>
      <c r="P126" s="84" t="s">
        <v>463</v>
      </c>
      <c r="Q126" s="84">
        <v>66367</v>
      </c>
      <c r="R126" s="84">
        <v>63242</v>
      </c>
      <c r="S126" s="84">
        <v>63060</v>
      </c>
      <c r="T126" s="84">
        <v>61507</v>
      </c>
      <c r="U126" s="84"/>
      <c r="W126" s="84" t="s">
        <v>463</v>
      </c>
      <c r="X126" s="84">
        <v>115035</v>
      </c>
      <c r="Y126" s="84">
        <v>102431</v>
      </c>
      <c r="Z126" s="84">
        <v>95886</v>
      </c>
      <c r="AA126" s="84">
        <v>90631</v>
      </c>
      <c r="AB126" s="84"/>
    </row>
    <row r="127" spans="2:28" x14ac:dyDescent="0.3">
      <c r="B127" s="84" t="s">
        <v>464</v>
      </c>
      <c r="C127" s="84">
        <v>0</v>
      </c>
      <c r="D127" s="84">
        <v>0</v>
      </c>
      <c r="E127" s="84">
        <v>0</v>
      </c>
      <c r="F127" s="84">
        <v>0</v>
      </c>
      <c r="G127" s="84"/>
      <c r="I127" s="84" t="s">
        <v>464</v>
      </c>
      <c r="J127" s="84">
        <v>0</v>
      </c>
      <c r="K127" s="84">
        <v>0</v>
      </c>
      <c r="L127" s="84">
        <v>0</v>
      </c>
      <c r="M127" s="84">
        <v>0</v>
      </c>
      <c r="N127" s="84"/>
      <c r="P127" s="84" t="s">
        <v>464</v>
      </c>
      <c r="Q127" s="84">
        <v>0</v>
      </c>
      <c r="R127" s="84">
        <v>0</v>
      </c>
      <c r="S127" s="84">
        <v>0</v>
      </c>
      <c r="T127" s="84">
        <v>0</v>
      </c>
      <c r="U127" s="84"/>
      <c r="W127" s="84" t="s">
        <v>464</v>
      </c>
      <c r="X127" s="84">
        <v>0</v>
      </c>
      <c r="Y127" s="84">
        <v>0</v>
      </c>
      <c r="Z127" s="84">
        <v>0</v>
      </c>
      <c r="AA127" s="84">
        <v>0</v>
      </c>
      <c r="AB127" s="84"/>
    </row>
    <row r="128" spans="2:28" x14ac:dyDescent="0.3">
      <c r="B128" s="84" t="s">
        <v>465</v>
      </c>
      <c r="C128" s="84">
        <v>0</v>
      </c>
      <c r="D128" s="84">
        <v>0</v>
      </c>
      <c r="E128" s="84">
        <v>0</v>
      </c>
      <c r="F128" s="84">
        <v>0</v>
      </c>
      <c r="G128" s="84"/>
      <c r="I128" s="84" t="s">
        <v>465</v>
      </c>
      <c r="J128" s="84">
        <v>0</v>
      </c>
      <c r="K128" s="84">
        <v>0</v>
      </c>
      <c r="L128" s="84">
        <v>0</v>
      </c>
      <c r="M128" s="84">
        <v>0</v>
      </c>
      <c r="N128" s="84"/>
      <c r="P128" s="84" t="s">
        <v>465</v>
      </c>
      <c r="Q128" s="84">
        <v>0</v>
      </c>
      <c r="R128" s="84">
        <v>0</v>
      </c>
      <c r="S128" s="84">
        <v>0</v>
      </c>
      <c r="T128" s="84">
        <v>0</v>
      </c>
      <c r="U128" s="84"/>
      <c r="W128" s="84" t="s">
        <v>465</v>
      </c>
      <c r="X128" s="84">
        <v>0</v>
      </c>
      <c r="Y128" s="84">
        <v>0</v>
      </c>
      <c r="Z128" s="84">
        <v>0</v>
      </c>
      <c r="AA128" s="84">
        <v>0</v>
      </c>
      <c r="AB128" s="84"/>
    </row>
    <row r="129" spans="2:28" x14ac:dyDescent="0.3">
      <c r="B129" s="84" t="s">
        <v>466</v>
      </c>
      <c r="C129" s="84">
        <v>0</v>
      </c>
      <c r="D129" s="84">
        <v>0</v>
      </c>
      <c r="E129" s="84">
        <v>0</v>
      </c>
      <c r="F129" s="84">
        <v>0</v>
      </c>
      <c r="G129" s="84"/>
      <c r="I129" s="84" t="s">
        <v>466</v>
      </c>
      <c r="J129" s="84">
        <v>0</v>
      </c>
      <c r="K129" s="84">
        <v>0</v>
      </c>
      <c r="L129" s="84">
        <v>0</v>
      </c>
      <c r="M129" s="84">
        <v>0</v>
      </c>
      <c r="N129" s="84"/>
      <c r="P129" s="84" t="s">
        <v>466</v>
      </c>
      <c r="Q129" s="84">
        <v>0</v>
      </c>
      <c r="R129" s="84">
        <v>0</v>
      </c>
      <c r="S129" s="84">
        <v>0</v>
      </c>
      <c r="T129" s="84">
        <v>0</v>
      </c>
      <c r="U129" s="84"/>
      <c r="W129" s="84" t="s">
        <v>466</v>
      </c>
      <c r="X129" s="84">
        <v>0</v>
      </c>
      <c r="Y129" s="84">
        <v>0</v>
      </c>
      <c r="Z129" s="84">
        <v>0</v>
      </c>
      <c r="AA129" s="84">
        <v>0</v>
      </c>
      <c r="AB129" s="84"/>
    </row>
    <row r="130" spans="2:28" x14ac:dyDescent="0.3">
      <c r="B130" s="84" t="s">
        <v>467</v>
      </c>
      <c r="C130" s="84">
        <v>0</v>
      </c>
      <c r="D130" s="84">
        <v>0</v>
      </c>
      <c r="E130" s="84">
        <v>0</v>
      </c>
      <c r="F130" s="84">
        <v>0</v>
      </c>
      <c r="G130" s="84"/>
      <c r="I130" s="84" t="s">
        <v>467</v>
      </c>
      <c r="J130" s="84">
        <v>0</v>
      </c>
      <c r="K130" s="84">
        <v>0</v>
      </c>
      <c r="L130" s="84">
        <v>0</v>
      </c>
      <c r="M130" s="84">
        <v>0</v>
      </c>
      <c r="N130" s="84"/>
      <c r="P130" s="84" t="s">
        <v>467</v>
      </c>
      <c r="Q130" s="84">
        <v>0</v>
      </c>
      <c r="R130" s="84">
        <v>0</v>
      </c>
      <c r="S130" s="84">
        <v>0</v>
      </c>
      <c r="T130" s="84">
        <v>0</v>
      </c>
      <c r="U130" s="84"/>
      <c r="W130" s="84" t="s">
        <v>467</v>
      </c>
      <c r="X130" s="84">
        <v>0</v>
      </c>
      <c r="Y130" s="84">
        <v>0</v>
      </c>
      <c r="Z130" s="84">
        <v>0</v>
      </c>
      <c r="AA130" s="84">
        <v>0</v>
      </c>
      <c r="AB130" s="84"/>
    </row>
    <row r="131" spans="2:28" x14ac:dyDescent="0.3">
      <c r="B131" s="84" t="s">
        <v>468</v>
      </c>
      <c r="C131" s="84">
        <v>0</v>
      </c>
      <c r="D131" s="84">
        <v>0</v>
      </c>
      <c r="E131" s="84">
        <v>0</v>
      </c>
      <c r="F131" s="84">
        <v>0</v>
      </c>
      <c r="G131" s="84"/>
      <c r="I131" s="84" t="s">
        <v>468</v>
      </c>
      <c r="J131" s="84">
        <v>0</v>
      </c>
      <c r="K131" s="84">
        <v>0</v>
      </c>
      <c r="L131" s="84">
        <v>0</v>
      </c>
      <c r="M131" s="84">
        <v>0</v>
      </c>
      <c r="N131" s="84"/>
      <c r="P131" s="84" t="s">
        <v>468</v>
      </c>
      <c r="Q131" s="84">
        <v>0</v>
      </c>
      <c r="R131" s="84">
        <v>0</v>
      </c>
      <c r="S131" s="84">
        <v>0</v>
      </c>
      <c r="T131" s="84">
        <v>0</v>
      </c>
      <c r="U131" s="84"/>
      <c r="W131" s="84" t="s">
        <v>468</v>
      </c>
      <c r="X131" s="84">
        <v>0</v>
      </c>
      <c r="Y131" s="84">
        <v>0</v>
      </c>
      <c r="Z131" s="84">
        <v>0</v>
      </c>
      <c r="AA131" s="84">
        <v>0</v>
      </c>
      <c r="AB131" s="84"/>
    </row>
    <row r="132" spans="2:28" x14ac:dyDescent="0.3">
      <c r="B132" s="84" t="s">
        <v>469</v>
      </c>
      <c r="C132" s="84">
        <v>0</v>
      </c>
      <c r="D132" s="84">
        <v>0</v>
      </c>
      <c r="E132" s="84">
        <v>0</v>
      </c>
      <c r="F132" s="84">
        <v>0</v>
      </c>
      <c r="G132" s="84"/>
      <c r="I132" s="84" t="s">
        <v>469</v>
      </c>
      <c r="J132" s="84">
        <v>0</v>
      </c>
      <c r="K132" s="84">
        <v>0</v>
      </c>
      <c r="L132" s="84">
        <v>0</v>
      </c>
      <c r="M132" s="84">
        <v>0</v>
      </c>
      <c r="N132" s="84"/>
      <c r="P132" s="84" t="s">
        <v>469</v>
      </c>
      <c r="Q132" s="84">
        <v>0</v>
      </c>
      <c r="R132" s="84">
        <v>0</v>
      </c>
      <c r="S132" s="84">
        <v>0</v>
      </c>
      <c r="T132" s="84">
        <v>0</v>
      </c>
      <c r="U132" s="84"/>
      <c r="W132" s="84" t="s">
        <v>469</v>
      </c>
      <c r="X132" s="84">
        <v>0</v>
      </c>
      <c r="Y132" s="84">
        <v>0</v>
      </c>
      <c r="Z132" s="84">
        <v>0</v>
      </c>
      <c r="AA132" s="84">
        <v>0</v>
      </c>
      <c r="AB132" s="84"/>
    </row>
    <row r="133" spans="2:28" x14ac:dyDescent="0.3">
      <c r="B133" s="84" t="s">
        <v>470</v>
      </c>
      <c r="C133" s="84">
        <v>0</v>
      </c>
      <c r="D133" s="84">
        <v>0</v>
      </c>
      <c r="E133" s="84">
        <v>0</v>
      </c>
      <c r="F133" s="84">
        <v>0</v>
      </c>
      <c r="G133" s="84"/>
      <c r="I133" s="84" t="s">
        <v>470</v>
      </c>
      <c r="J133" s="84">
        <v>0</v>
      </c>
      <c r="K133" s="84">
        <v>0</v>
      </c>
      <c r="L133" s="84">
        <v>0</v>
      </c>
      <c r="M133" s="84">
        <v>0</v>
      </c>
      <c r="N133" s="84"/>
      <c r="P133" s="84" t="s">
        <v>470</v>
      </c>
      <c r="Q133" s="84">
        <v>0</v>
      </c>
      <c r="R133" s="84">
        <v>0</v>
      </c>
      <c r="S133" s="84">
        <v>0</v>
      </c>
      <c r="T133" s="84">
        <v>0</v>
      </c>
      <c r="U133" s="84"/>
      <c r="W133" s="84" t="s">
        <v>470</v>
      </c>
      <c r="X133" s="84">
        <v>0</v>
      </c>
      <c r="Y133" s="84">
        <v>0</v>
      </c>
      <c r="Z133" s="84">
        <v>0</v>
      </c>
      <c r="AA133" s="84">
        <v>0</v>
      </c>
      <c r="AB133" s="84"/>
    </row>
    <row r="134" spans="2:28" x14ac:dyDescent="0.3">
      <c r="B134" s="84" t="s">
        <v>471</v>
      </c>
      <c r="C134" s="84">
        <v>0</v>
      </c>
      <c r="D134" s="84">
        <v>0</v>
      </c>
      <c r="E134" s="84">
        <v>0</v>
      </c>
      <c r="F134" s="84">
        <v>0</v>
      </c>
      <c r="G134" s="84"/>
      <c r="I134" s="84" t="s">
        <v>471</v>
      </c>
      <c r="J134" s="84">
        <v>0</v>
      </c>
      <c r="K134" s="84">
        <v>0</v>
      </c>
      <c r="L134" s="84">
        <v>0</v>
      </c>
      <c r="M134" s="84">
        <v>0</v>
      </c>
      <c r="N134" s="84"/>
      <c r="P134" s="84" t="s">
        <v>471</v>
      </c>
      <c r="Q134" s="84">
        <v>0</v>
      </c>
      <c r="R134" s="84">
        <v>0</v>
      </c>
      <c r="S134" s="84">
        <v>0</v>
      </c>
      <c r="T134" s="84">
        <v>0</v>
      </c>
      <c r="U134" s="84"/>
      <c r="W134" s="84" t="s">
        <v>471</v>
      </c>
      <c r="X134" s="84">
        <v>0</v>
      </c>
      <c r="Y134" s="84">
        <v>0</v>
      </c>
      <c r="Z134" s="84">
        <v>0</v>
      </c>
      <c r="AA134" s="84">
        <v>0</v>
      </c>
      <c r="AB134" s="84"/>
    </row>
    <row r="135" spans="2:28" x14ac:dyDescent="0.3">
      <c r="B135" s="84" t="s">
        <v>472</v>
      </c>
      <c r="C135" s="84">
        <v>0</v>
      </c>
      <c r="D135" s="84">
        <v>0</v>
      </c>
      <c r="E135" s="84">
        <v>0</v>
      </c>
      <c r="F135" s="84">
        <v>0</v>
      </c>
      <c r="G135" s="84"/>
      <c r="I135" s="84" t="s">
        <v>472</v>
      </c>
      <c r="J135" s="84">
        <v>0</v>
      </c>
      <c r="K135" s="84">
        <v>0</v>
      </c>
      <c r="L135" s="84">
        <v>0</v>
      </c>
      <c r="M135" s="84">
        <v>0</v>
      </c>
      <c r="N135" s="84"/>
      <c r="P135" s="84" t="s">
        <v>472</v>
      </c>
      <c r="Q135" s="84">
        <v>0</v>
      </c>
      <c r="R135" s="84">
        <v>0</v>
      </c>
      <c r="S135" s="84">
        <v>0</v>
      </c>
      <c r="T135" s="84">
        <v>0</v>
      </c>
      <c r="U135" s="84"/>
      <c r="W135" s="84" t="s">
        <v>472</v>
      </c>
      <c r="X135" s="84">
        <v>0</v>
      </c>
      <c r="Y135" s="84">
        <v>0</v>
      </c>
      <c r="Z135" s="84">
        <v>0</v>
      </c>
      <c r="AA135" s="84">
        <v>0</v>
      </c>
      <c r="AB135" s="84"/>
    </row>
    <row r="136" spans="2:28" x14ac:dyDescent="0.3">
      <c r="B136" s="84" t="s">
        <v>473</v>
      </c>
      <c r="C136" s="84">
        <v>0</v>
      </c>
      <c r="D136" s="84">
        <v>0</v>
      </c>
      <c r="E136" s="84">
        <v>0</v>
      </c>
      <c r="F136" s="84">
        <v>0</v>
      </c>
      <c r="G136" s="84"/>
      <c r="I136" s="84" t="s">
        <v>473</v>
      </c>
      <c r="J136" s="84">
        <v>0</v>
      </c>
      <c r="K136" s="84">
        <v>0</v>
      </c>
      <c r="L136" s="84">
        <v>0</v>
      </c>
      <c r="M136" s="84">
        <v>0</v>
      </c>
      <c r="N136" s="84"/>
      <c r="P136" s="84" t="s">
        <v>473</v>
      </c>
      <c r="Q136" s="84">
        <v>0</v>
      </c>
      <c r="R136" s="84">
        <v>0</v>
      </c>
      <c r="S136" s="84">
        <v>0</v>
      </c>
      <c r="T136" s="84">
        <v>0</v>
      </c>
      <c r="U136" s="84"/>
      <c r="W136" s="84" t="s">
        <v>473</v>
      </c>
      <c r="X136" s="84">
        <v>0</v>
      </c>
      <c r="Y136" s="84">
        <v>0</v>
      </c>
      <c r="Z136" s="84">
        <v>0</v>
      </c>
      <c r="AA136" s="84">
        <v>0</v>
      </c>
      <c r="AB136" s="84"/>
    </row>
    <row r="137" spans="2:28" x14ac:dyDescent="0.3">
      <c r="B137" s="84" t="s">
        <v>474</v>
      </c>
      <c r="C137" s="84">
        <v>451</v>
      </c>
      <c r="D137" s="84">
        <v>412</v>
      </c>
      <c r="E137" s="84">
        <v>416</v>
      </c>
      <c r="F137" s="84">
        <v>542</v>
      </c>
      <c r="G137" s="84"/>
      <c r="I137" s="84" t="s">
        <v>474</v>
      </c>
      <c r="J137" s="84">
        <v>1135</v>
      </c>
      <c r="K137" s="84">
        <v>902</v>
      </c>
      <c r="L137" s="84">
        <v>722</v>
      </c>
      <c r="M137" s="84">
        <v>994</v>
      </c>
      <c r="N137" s="84"/>
      <c r="P137" s="84" t="s">
        <v>474</v>
      </c>
      <c r="Q137" s="84">
        <v>1205</v>
      </c>
      <c r="R137" s="84">
        <v>1218</v>
      </c>
      <c r="S137" s="84">
        <v>1470</v>
      </c>
      <c r="T137" s="84">
        <v>1174</v>
      </c>
      <c r="U137" s="84"/>
      <c r="W137" s="84" t="s">
        <v>474</v>
      </c>
      <c r="X137" s="84">
        <v>2074</v>
      </c>
      <c r="Y137" s="84">
        <v>2312</v>
      </c>
      <c r="Z137" s="84">
        <v>2243</v>
      </c>
      <c r="AA137" s="84">
        <v>1820</v>
      </c>
      <c r="AB137" s="84"/>
    </row>
    <row r="138" spans="2:28" x14ac:dyDescent="0.3">
      <c r="B138" s="84" t="s">
        <v>475</v>
      </c>
      <c r="C138" s="84">
        <v>11294</v>
      </c>
      <c r="D138" s="84">
        <v>9776</v>
      </c>
      <c r="E138" s="84">
        <v>9618</v>
      </c>
      <c r="F138" s="84">
        <v>8802</v>
      </c>
      <c r="G138" s="84"/>
      <c r="I138" s="84" t="s">
        <v>475</v>
      </c>
      <c r="J138" s="84">
        <v>25512</v>
      </c>
      <c r="K138" s="84">
        <v>21371</v>
      </c>
      <c r="L138" s="84">
        <v>19476</v>
      </c>
      <c r="M138" s="84">
        <v>19583</v>
      </c>
      <c r="N138" s="84"/>
      <c r="P138" s="84" t="s">
        <v>475</v>
      </c>
      <c r="Q138" s="84">
        <v>33532</v>
      </c>
      <c r="R138" s="84">
        <v>31234</v>
      </c>
      <c r="S138" s="84">
        <v>28460</v>
      </c>
      <c r="T138" s="84">
        <v>30144</v>
      </c>
      <c r="U138" s="84"/>
      <c r="W138" s="84" t="s">
        <v>475</v>
      </c>
      <c r="X138" s="84">
        <v>53678</v>
      </c>
      <c r="Y138" s="84">
        <v>49104</v>
      </c>
      <c r="Z138" s="84">
        <v>44269</v>
      </c>
      <c r="AA138" s="84">
        <v>43923</v>
      </c>
      <c r="AB138" s="84"/>
    </row>
    <row r="139" spans="2:28" x14ac:dyDescent="0.3">
      <c r="B139" s="84" t="s">
        <v>476</v>
      </c>
      <c r="C139" s="84">
        <v>1995</v>
      </c>
      <c r="D139" s="84">
        <v>1794</v>
      </c>
      <c r="E139" s="84">
        <v>1633</v>
      </c>
      <c r="F139" s="84">
        <v>1520</v>
      </c>
      <c r="G139" s="84"/>
      <c r="I139" s="84" t="s">
        <v>476</v>
      </c>
      <c r="J139" s="84">
        <v>4327</v>
      </c>
      <c r="K139" s="84">
        <v>3706</v>
      </c>
      <c r="L139" s="84">
        <v>3933</v>
      </c>
      <c r="M139" s="84">
        <v>4159</v>
      </c>
      <c r="N139" s="84"/>
      <c r="P139" s="84" t="s">
        <v>476</v>
      </c>
      <c r="Q139" s="84">
        <v>5943</v>
      </c>
      <c r="R139" s="84">
        <v>6335</v>
      </c>
      <c r="S139" s="84">
        <v>6534</v>
      </c>
      <c r="T139" s="84">
        <v>7350</v>
      </c>
      <c r="U139" s="84"/>
      <c r="W139" s="84" t="s">
        <v>476</v>
      </c>
      <c r="X139" s="84">
        <v>8066</v>
      </c>
      <c r="Y139" s="84">
        <v>9490</v>
      </c>
      <c r="Z139" s="84">
        <v>7973</v>
      </c>
      <c r="AA139" s="84">
        <v>10262</v>
      </c>
      <c r="AB139" s="84"/>
    </row>
    <row r="140" spans="2:28" x14ac:dyDescent="0.3">
      <c r="B140" s="84" t="s">
        <v>477</v>
      </c>
      <c r="C140" s="84">
        <v>-88</v>
      </c>
      <c r="D140" s="84">
        <v>-289</v>
      </c>
      <c r="E140" s="84">
        <v>-562</v>
      </c>
      <c r="F140" s="84">
        <v>-35</v>
      </c>
      <c r="G140" s="84"/>
      <c r="I140" s="84" t="s">
        <v>477</v>
      </c>
      <c r="J140" s="84">
        <v>-71</v>
      </c>
      <c r="K140" s="84">
        <v>-344</v>
      </c>
      <c r="L140" s="84">
        <v>-994</v>
      </c>
      <c r="M140" s="84">
        <v>-208</v>
      </c>
      <c r="N140" s="84"/>
      <c r="P140" s="84" t="s">
        <v>477</v>
      </c>
      <c r="Q140" s="84">
        <v>-404</v>
      </c>
      <c r="R140" s="84">
        <v>-1563</v>
      </c>
      <c r="S140" s="84">
        <v>-438</v>
      </c>
      <c r="T140" s="84">
        <v>-447</v>
      </c>
      <c r="U140" s="84"/>
      <c r="W140" s="84" t="s">
        <v>477</v>
      </c>
      <c r="X140" s="84">
        <v>-309</v>
      </c>
      <c r="Y140" s="84">
        <v>-1715</v>
      </c>
      <c r="Z140" s="84">
        <v>-819</v>
      </c>
      <c r="AA140" s="84">
        <v>-788</v>
      </c>
      <c r="AB140" s="84"/>
    </row>
    <row r="141" spans="2:28" x14ac:dyDescent="0.3">
      <c r="B141" s="84" t="s">
        <v>478</v>
      </c>
      <c r="C141" s="84">
        <v>-766</v>
      </c>
      <c r="D141" s="84">
        <v>-230</v>
      </c>
      <c r="E141" s="84">
        <v>129</v>
      </c>
      <c r="F141" s="84">
        <v>10</v>
      </c>
      <c r="G141" s="84"/>
      <c r="I141" s="84" t="s">
        <v>478</v>
      </c>
      <c r="J141" s="84">
        <v>-553</v>
      </c>
      <c r="K141" s="84">
        <v>-244</v>
      </c>
      <c r="L141" s="84">
        <v>140</v>
      </c>
      <c r="M141" s="84">
        <v>-25</v>
      </c>
      <c r="N141" s="84"/>
      <c r="P141" s="84" t="s">
        <v>478</v>
      </c>
      <c r="Q141" s="84">
        <v>138</v>
      </c>
      <c r="R141" s="84">
        <v>211</v>
      </c>
      <c r="S141" s="84">
        <v>-71</v>
      </c>
      <c r="T141" s="84">
        <v>258</v>
      </c>
      <c r="U141" s="84"/>
      <c r="W141" s="84" t="s">
        <v>478</v>
      </c>
      <c r="X141" s="84">
        <v>1193</v>
      </c>
      <c r="Y141" s="84">
        <v>1381</v>
      </c>
      <c r="Z141" s="84">
        <v>589</v>
      </c>
      <c r="AA141" s="84">
        <v>624</v>
      </c>
      <c r="AB141" s="84"/>
    </row>
    <row r="142" spans="2:28" x14ac:dyDescent="0.3">
      <c r="B142" s="84" t="s">
        <v>479</v>
      </c>
      <c r="C142" s="84">
        <v>0</v>
      </c>
      <c r="D142" s="84">
        <v>0</v>
      </c>
      <c r="E142" s="84">
        <v>0</v>
      </c>
      <c r="F142" s="84">
        <v>0</v>
      </c>
      <c r="G142" s="84"/>
      <c r="I142" s="84" t="s">
        <v>479</v>
      </c>
      <c r="J142" s="84">
        <v>0</v>
      </c>
      <c r="K142" s="84">
        <v>0</v>
      </c>
      <c r="L142" s="84">
        <v>0</v>
      </c>
      <c r="M142" s="84">
        <v>0</v>
      </c>
      <c r="N142" s="84"/>
      <c r="P142" s="84" t="s">
        <v>479</v>
      </c>
      <c r="Q142" s="84">
        <v>0</v>
      </c>
      <c r="R142" s="84">
        <v>0</v>
      </c>
      <c r="S142" s="84">
        <v>0</v>
      </c>
      <c r="T142" s="84">
        <v>0</v>
      </c>
      <c r="U142" s="84"/>
      <c r="W142" s="84" t="s">
        <v>479</v>
      </c>
      <c r="X142" s="84">
        <v>0</v>
      </c>
      <c r="Y142" s="84">
        <v>0</v>
      </c>
      <c r="Z142" s="84">
        <v>0</v>
      </c>
      <c r="AA142" s="84">
        <v>0</v>
      </c>
      <c r="AB142" s="84"/>
    </row>
    <row r="143" spans="2:28" x14ac:dyDescent="0.3">
      <c r="B143" s="84" t="s">
        <v>480</v>
      </c>
      <c r="C143" s="84">
        <v>1285</v>
      </c>
      <c r="D143" s="84">
        <v>750</v>
      </c>
      <c r="E143" s="84">
        <v>479</v>
      </c>
      <c r="F143" s="84">
        <v>77</v>
      </c>
      <c r="G143" s="84"/>
      <c r="I143" s="84" t="s">
        <v>480</v>
      </c>
      <c r="J143" s="84">
        <v>1327</v>
      </c>
      <c r="K143" s="84">
        <v>1258</v>
      </c>
      <c r="L143" s="84">
        <v>1458</v>
      </c>
      <c r="M143" s="84">
        <v>387</v>
      </c>
      <c r="N143" s="84"/>
      <c r="P143" s="84" t="s">
        <v>480</v>
      </c>
      <c r="Q143" s="84">
        <v>2220</v>
      </c>
      <c r="R143" s="84">
        <v>1920</v>
      </c>
      <c r="S143" s="84">
        <v>666</v>
      </c>
      <c r="T143" s="84">
        <v>632</v>
      </c>
      <c r="U143" s="84"/>
      <c r="W143" s="84" t="s">
        <v>480</v>
      </c>
      <c r="X143" s="84">
        <v>2242</v>
      </c>
      <c r="Y143" s="84">
        <v>1831</v>
      </c>
      <c r="Z143" s="84">
        <v>1686</v>
      </c>
      <c r="AA143" s="84">
        <v>1201</v>
      </c>
      <c r="AB143" s="84"/>
    </row>
    <row r="144" spans="2:28" x14ac:dyDescent="0.3">
      <c r="B144" s="84" t="s">
        <v>481</v>
      </c>
      <c r="C144" s="84">
        <v>0</v>
      </c>
      <c r="D144" s="84">
        <v>0</v>
      </c>
      <c r="E144" s="84">
        <v>0</v>
      </c>
      <c r="F144" s="84">
        <v>0</v>
      </c>
      <c r="G144" s="84"/>
      <c r="I144" s="84" t="s">
        <v>481</v>
      </c>
      <c r="J144" s="84">
        <v>0</v>
      </c>
      <c r="K144" s="84">
        <v>0</v>
      </c>
      <c r="L144" s="84">
        <v>0</v>
      </c>
      <c r="M144" s="84">
        <v>0</v>
      </c>
      <c r="N144" s="84"/>
      <c r="P144" s="84" t="s">
        <v>481</v>
      </c>
      <c r="Q144" s="84">
        <v>0</v>
      </c>
      <c r="R144" s="84">
        <v>0</v>
      </c>
      <c r="S144" s="84">
        <v>0</v>
      </c>
      <c r="T144" s="84">
        <v>0</v>
      </c>
      <c r="U144" s="84"/>
      <c r="W144" s="84" t="s">
        <v>481</v>
      </c>
      <c r="X144" s="84">
        <v>0</v>
      </c>
      <c r="Y144" s="84">
        <v>0</v>
      </c>
      <c r="Z144" s="84">
        <v>0</v>
      </c>
      <c r="AA144" s="84">
        <v>0</v>
      </c>
      <c r="AB144" s="84"/>
    </row>
    <row r="145" spans="2:28" x14ac:dyDescent="0.3">
      <c r="B145" s="84" t="s">
        <v>482</v>
      </c>
      <c r="C145" s="84">
        <v>0</v>
      </c>
      <c r="D145" s="84">
        <v>0</v>
      </c>
      <c r="E145" s="84">
        <v>0</v>
      </c>
      <c r="F145" s="84">
        <v>0</v>
      </c>
      <c r="G145" s="84"/>
      <c r="I145" s="84" t="s">
        <v>482</v>
      </c>
      <c r="J145" s="84">
        <v>0</v>
      </c>
      <c r="K145" s="84">
        <v>0</v>
      </c>
      <c r="L145" s="84">
        <v>0</v>
      </c>
      <c r="M145" s="84">
        <v>0</v>
      </c>
      <c r="N145" s="84"/>
      <c r="P145" s="84" t="s">
        <v>482</v>
      </c>
      <c r="Q145" s="84">
        <v>0</v>
      </c>
      <c r="R145" s="84">
        <v>0</v>
      </c>
      <c r="S145" s="84">
        <v>0</v>
      </c>
      <c r="T145" s="84">
        <v>0</v>
      </c>
      <c r="U145" s="84"/>
      <c r="W145" s="84" t="s">
        <v>482</v>
      </c>
      <c r="X145" s="84">
        <v>0</v>
      </c>
      <c r="Y145" s="84">
        <v>0</v>
      </c>
      <c r="Z145" s="84">
        <v>0</v>
      </c>
      <c r="AA145" s="84">
        <v>0</v>
      </c>
      <c r="AB145" s="84"/>
    </row>
    <row r="146" spans="2:28" x14ac:dyDescent="0.3">
      <c r="B146" s="84" t="s">
        <v>483</v>
      </c>
      <c r="C146" s="84">
        <v>0</v>
      </c>
      <c r="D146" s="84">
        <v>0</v>
      </c>
      <c r="E146" s="84">
        <v>0</v>
      </c>
      <c r="F146" s="84">
        <v>0</v>
      </c>
      <c r="G146" s="84"/>
      <c r="I146" s="84" t="s">
        <v>483</v>
      </c>
      <c r="J146" s="84">
        <v>0</v>
      </c>
      <c r="K146" s="84">
        <v>0</v>
      </c>
      <c r="L146" s="84">
        <v>0</v>
      </c>
      <c r="M146" s="84">
        <v>0</v>
      </c>
      <c r="N146" s="84"/>
      <c r="P146" s="84" t="s">
        <v>483</v>
      </c>
      <c r="Q146" s="84">
        <v>0</v>
      </c>
      <c r="R146" s="84">
        <v>0</v>
      </c>
      <c r="S146" s="84">
        <v>0</v>
      </c>
      <c r="T146" s="84">
        <v>0</v>
      </c>
      <c r="U146" s="84"/>
      <c r="W146" s="84" t="s">
        <v>483</v>
      </c>
      <c r="X146" s="84">
        <v>0</v>
      </c>
      <c r="Y146" s="84">
        <v>0</v>
      </c>
      <c r="Z146" s="84">
        <v>0</v>
      </c>
      <c r="AA146" s="84">
        <v>0</v>
      </c>
      <c r="AB146" s="84"/>
    </row>
    <row r="147" spans="2:28" x14ac:dyDescent="0.3">
      <c r="B147" s="84" t="s">
        <v>484</v>
      </c>
      <c r="C147" s="84">
        <v>0</v>
      </c>
      <c r="D147" s="84">
        <v>0</v>
      </c>
      <c r="E147" s="84">
        <v>0</v>
      </c>
      <c r="F147" s="84">
        <v>0</v>
      </c>
      <c r="G147" s="84"/>
      <c r="I147" s="84" t="s">
        <v>484</v>
      </c>
      <c r="J147" s="84">
        <v>0</v>
      </c>
      <c r="K147" s="84">
        <v>0</v>
      </c>
      <c r="L147" s="84">
        <v>0</v>
      </c>
      <c r="M147" s="84">
        <v>0</v>
      </c>
      <c r="N147" s="84"/>
      <c r="P147" s="84" t="s">
        <v>484</v>
      </c>
      <c r="Q147" s="84">
        <v>0</v>
      </c>
      <c r="R147" s="84">
        <v>0</v>
      </c>
      <c r="S147" s="84">
        <v>0</v>
      </c>
      <c r="T147" s="84">
        <v>0</v>
      </c>
      <c r="U147" s="84"/>
      <c r="W147" s="84" t="s">
        <v>484</v>
      </c>
      <c r="X147" s="84">
        <v>0</v>
      </c>
      <c r="Y147" s="84">
        <v>0</v>
      </c>
      <c r="Z147" s="84">
        <v>0</v>
      </c>
      <c r="AA147" s="84">
        <v>0</v>
      </c>
      <c r="AB147" s="84"/>
    </row>
    <row r="148" spans="2:28" x14ac:dyDescent="0.3">
      <c r="B148" s="84" t="s">
        <v>485</v>
      </c>
      <c r="C148" s="84">
        <v>0</v>
      </c>
      <c r="D148" s="84">
        <v>0</v>
      </c>
      <c r="E148" s="84">
        <v>0</v>
      </c>
      <c r="F148" s="84">
        <v>0</v>
      </c>
      <c r="G148" s="84"/>
      <c r="I148" s="84" t="s">
        <v>485</v>
      </c>
      <c r="J148" s="84">
        <v>0</v>
      </c>
      <c r="K148" s="84">
        <v>0</v>
      </c>
      <c r="L148" s="84">
        <v>0</v>
      </c>
      <c r="M148" s="84">
        <v>0</v>
      </c>
      <c r="N148" s="84"/>
      <c r="P148" s="84" t="s">
        <v>485</v>
      </c>
      <c r="Q148" s="84">
        <v>0</v>
      </c>
      <c r="R148" s="84">
        <v>0</v>
      </c>
      <c r="S148" s="84">
        <v>0</v>
      </c>
      <c r="T148" s="84">
        <v>0</v>
      </c>
      <c r="U148" s="84"/>
      <c r="W148" s="84" t="s">
        <v>485</v>
      </c>
      <c r="X148" s="84">
        <v>0</v>
      </c>
      <c r="Y148" s="84">
        <v>0</v>
      </c>
      <c r="Z148" s="84">
        <v>0</v>
      </c>
      <c r="AA148" s="84">
        <v>0</v>
      </c>
      <c r="AB148" s="84"/>
    </row>
    <row r="149" spans="2:28" x14ac:dyDescent="0.3">
      <c r="B149" s="84" t="s">
        <v>486</v>
      </c>
      <c r="C149" s="84">
        <v>0</v>
      </c>
      <c r="D149" s="84">
        <v>0</v>
      </c>
      <c r="E149" s="84">
        <v>0</v>
      </c>
      <c r="F149" s="84">
        <v>0</v>
      </c>
      <c r="G149" s="84"/>
      <c r="I149" s="84" t="s">
        <v>486</v>
      </c>
      <c r="J149" s="84">
        <v>0</v>
      </c>
      <c r="K149" s="84">
        <v>0</v>
      </c>
      <c r="L149" s="84">
        <v>0</v>
      </c>
      <c r="M149" s="84">
        <v>0</v>
      </c>
      <c r="N149" s="84"/>
      <c r="P149" s="84" t="s">
        <v>486</v>
      </c>
      <c r="Q149" s="84">
        <v>0</v>
      </c>
      <c r="R149" s="84">
        <v>0</v>
      </c>
      <c r="S149" s="84">
        <v>0</v>
      </c>
      <c r="T149" s="84">
        <v>0</v>
      </c>
      <c r="U149" s="84"/>
      <c r="W149" s="84" t="s">
        <v>486</v>
      </c>
      <c r="X149" s="84">
        <v>0</v>
      </c>
      <c r="Y149" s="84">
        <v>0</v>
      </c>
      <c r="Z149" s="84">
        <v>0</v>
      </c>
      <c r="AA149" s="84">
        <v>0</v>
      </c>
      <c r="AB149" s="84"/>
    </row>
    <row r="150" spans="2:28" x14ac:dyDescent="0.3">
      <c r="B150" s="84" t="s">
        <v>487</v>
      </c>
      <c r="C150" s="84">
        <v>10073</v>
      </c>
      <c r="D150" s="84">
        <v>11217</v>
      </c>
      <c r="E150" s="84">
        <v>12975</v>
      </c>
      <c r="F150" s="84">
        <v>13152</v>
      </c>
      <c r="G150" s="84"/>
      <c r="I150" s="84" t="s">
        <v>487</v>
      </c>
      <c r="J150" s="84">
        <v>19249</v>
      </c>
      <c r="K150" s="84">
        <v>20993</v>
      </c>
      <c r="L150" s="84">
        <v>23072</v>
      </c>
      <c r="M150" s="84">
        <v>20320</v>
      </c>
      <c r="N150" s="84"/>
      <c r="P150" s="84" t="s">
        <v>487</v>
      </c>
      <c r="Q150" s="84">
        <v>30214</v>
      </c>
      <c r="R150" s="84">
        <v>31078</v>
      </c>
      <c r="S150" s="84">
        <v>31595</v>
      </c>
      <c r="T150" s="84">
        <v>26189</v>
      </c>
      <c r="U150" s="84"/>
      <c r="W150" s="84" t="s">
        <v>487</v>
      </c>
      <c r="X150" s="84">
        <v>53663</v>
      </c>
      <c r="Y150" s="84">
        <v>48088</v>
      </c>
      <c r="Z150" s="84">
        <v>48522</v>
      </c>
      <c r="AA150" s="84">
        <v>41119</v>
      </c>
      <c r="AB150" s="84"/>
    </row>
    <row r="151" spans="2:28" x14ac:dyDescent="0.3">
      <c r="B151" s="84" t="s">
        <v>488</v>
      </c>
      <c r="C151" s="84">
        <v>162</v>
      </c>
      <c r="D151" s="84">
        <v>147</v>
      </c>
      <c r="E151" s="84">
        <v>58</v>
      </c>
      <c r="F151" s="84">
        <v>167</v>
      </c>
      <c r="G151" s="84"/>
      <c r="I151" s="84" t="s">
        <v>488</v>
      </c>
      <c r="J151" s="84">
        <v>1120</v>
      </c>
      <c r="K151" s="84">
        <v>737</v>
      </c>
      <c r="L151" s="84">
        <v>352</v>
      </c>
      <c r="M151" s="84">
        <v>384</v>
      </c>
      <c r="N151" s="84"/>
      <c r="P151" s="84" t="s">
        <v>488</v>
      </c>
      <c r="Q151" s="84">
        <v>960</v>
      </c>
      <c r="R151" s="84">
        <v>984</v>
      </c>
      <c r="S151" s="84">
        <v>422</v>
      </c>
      <c r="T151" s="84">
        <v>1908</v>
      </c>
      <c r="U151" s="84"/>
      <c r="W151" s="84" t="s">
        <v>488</v>
      </c>
      <c r="X151" s="84">
        <v>2351</v>
      </c>
      <c r="Y151" s="84">
        <v>1099</v>
      </c>
      <c r="Z151" s="84">
        <v>699</v>
      </c>
      <c r="AA151" s="84">
        <v>1201</v>
      </c>
      <c r="AB151" s="84"/>
    </row>
    <row r="152" spans="2:28" x14ac:dyDescent="0.3">
      <c r="B152" s="84" t="s">
        <v>489</v>
      </c>
      <c r="C152" s="84">
        <v>75</v>
      </c>
      <c r="D152" s="84">
        <v>6</v>
      </c>
      <c r="E152" s="84">
        <v>14</v>
      </c>
      <c r="F152" s="84">
        <v>2</v>
      </c>
      <c r="G152" s="84"/>
      <c r="I152" s="84" t="s">
        <v>489</v>
      </c>
      <c r="J152" s="84">
        <v>119</v>
      </c>
      <c r="K152" s="84">
        <v>204</v>
      </c>
      <c r="L152" s="84">
        <v>34</v>
      </c>
      <c r="M152" s="84">
        <v>8</v>
      </c>
      <c r="N152" s="84"/>
      <c r="P152" s="84" t="s">
        <v>489</v>
      </c>
      <c r="Q152" s="84">
        <v>250</v>
      </c>
      <c r="R152" s="84">
        <v>47</v>
      </c>
      <c r="S152" s="84">
        <v>64</v>
      </c>
      <c r="T152" s="84">
        <v>15</v>
      </c>
      <c r="U152" s="84"/>
      <c r="W152" s="84" t="s">
        <v>489</v>
      </c>
      <c r="X152" s="84">
        <v>319</v>
      </c>
      <c r="Y152" s="84">
        <v>59</v>
      </c>
      <c r="Z152" s="84">
        <v>164</v>
      </c>
      <c r="AA152" s="84">
        <v>70</v>
      </c>
      <c r="AB152" s="84"/>
    </row>
    <row r="153" spans="2:28" x14ac:dyDescent="0.3">
      <c r="B153" s="84" t="s">
        <v>490</v>
      </c>
      <c r="C153" s="84">
        <v>0</v>
      </c>
      <c r="D153" s="84">
        <v>2</v>
      </c>
      <c r="E153" s="84">
        <v>13</v>
      </c>
      <c r="F153" s="84">
        <v>0</v>
      </c>
      <c r="G153" s="84"/>
      <c r="I153" s="84" t="s">
        <v>490</v>
      </c>
      <c r="J153" s="84">
        <v>0</v>
      </c>
      <c r="K153" s="84">
        <v>8</v>
      </c>
      <c r="L153" s="84">
        <v>13</v>
      </c>
      <c r="M153" s="84">
        <v>0</v>
      </c>
      <c r="N153" s="84"/>
      <c r="P153" s="84" t="s">
        <v>490</v>
      </c>
      <c r="Q153" s="84">
        <v>9</v>
      </c>
      <c r="R153" s="84">
        <v>17</v>
      </c>
      <c r="S153" s="84">
        <v>49</v>
      </c>
      <c r="T153" s="84">
        <v>0</v>
      </c>
      <c r="U153" s="84"/>
      <c r="W153" s="84" t="s">
        <v>490</v>
      </c>
      <c r="X153" s="84">
        <v>31</v>
      </c>
      <c r="Y153" s="84">
        <v>6</v>
      </c>
      <c r="Z153" s="84">
        <v>63</v>
      </c>
      <c r="AA153" s="84">
        <v>29</v>
      </c>
      <c r="AB153" s="84"/>
    </row>
    <row r="154" spans="2:28" x14ac:dyDescent="0.3">
      <c r="B154" s="84" t="s">
        <v>491</v>
      </c>
      <c r="C154" s="84">
        <v>10160</v>
      </c>
      <c r="D154" s="84">
        <v>11357</v>
      </c>
      <c r="E154" s="84">
        <v>13019</v>
      </c>
      <c r="F154" s="84">
        <v>13318</v>
      </c>
      <c r="G154" s="84"/>
      <c r="I154" s="84" t="s">
        <v>491</v>
      </c>
      <c r="J154" s="84">
        <v>20250</v>
      </c>
      <c r="K154" s="84">
        <v>21526</v>
      </c>
      <c r="L154" s="84">
        <v>23390</v>
      </c>
      <c r="M154" s="84">
        <v>20696</v>
      </c>
      <c r="N154" s="84"/>
      <c r="P154" s="84" t="s">
        <v>491</v>
      </c>
      <c r="Q154" s="84">
        <v>30924</v>
      </c>
      <c r="R154" s="84">
        <v>32014</v>
      </c>
      <c r="S154" s="84">
        <v>31952</v>
      </c>
      <c r="T154" s="84">
        <v>28082</v>
      </c>
      <c r="U154" s="84"/>
      <c r="W154" s="84" t="s">
        <v>491</v>
      </c>
      <c r="X154" s="84">
        <v>55695</v>
      </c>
      <c r="Y154" s="84">
        <v>49128</v>
      </c>
      <c r="Z154" s="84">
        <v>49057</v>
      </c>
      <c r="AA154" s="84">
        <v>42251</v>
      </c>
      <c r="AB154" s="84"/>
    </row>
    <row r="155" spans="2:28" x14ac:dyDescent="0.3">
      <c r="B155" s="84" t="s">
        <v>492</v>
      </c>
      <c r="C155" s="84">
        <v>2229</v>
      </c>
      <c r="D155" s="84">
        <v>2506</v>
      </c>
      <c r="E155" s="84">
        <v>2917</v>
      </c>
      <c r="F155" s="84">
        <v>3261</v>
      </c>
      <c r="G155" s="84"/>
      <c r="I155" s="84" t="s">
        <v>492</v>
      </c>
      <c r="J155" s="84">
        <v>4391</v>
      </c>
      <c r="K155" s="84">
        <v>4590</v>
      </c>
      <c r="L155" s="84">
        <v>5099</v>
      </c>
      <c r="M155" s="84">
        <v>4940</v>
      </c>
      <c r="N155" s="84"/>
      <c r="P155" s="84" t="s">
        <v>492</v>
      </c>
      <c r="Q155" s="84">
        <v>6574</v>
      </c>
      <c r="R155" s="84">
        <v>6970</v>
      </c>
      <c r="S155" s="84">
        <v>7560</v>
      </c>
      <c r="T155" s="84">
        <v>7015</v>
      </c>
      <c r="U155" s="84"/>
      <c r="W155" s="84" t="s">
        <v>492</v>
      </c>
      <c r="X155" s="84">
        <v>11793</v>
      </c>
      <c r="Y155" s="84">
        <v>9005</v>
      </c>
      <c r="Z155" s="84">
        <v>11402</v>
      </c>
      <c r="AA155" s="84">
        <v>10756</v>
      </c>
      <c r="AB155" s="84"/>
    </row>
    <row r="156" spans="2:28" x14ac:dyDescent="0.3">
      <c r="B156" s="84" t="s">
        <v>493</v>
      </c>
      <c r="C156" s="84">
        <v>0</v>
      </c>
      <c r="D156" s="84">
        <v>0</v>
      </c>
      <c r="E156" s="84">
        <v>0</v>
      </c>
      <c r="F156" s="84">
        <v>0</v>
      </c>
      <c r="G156" s="84"/>
      <c r="I156" s="84" t="s">
        <v>493</v>
      </c>
      <c r="J156" s="84">
        <v>0</v>
      </c>
      <c r="K156" s="84">
        <v>0</v>
      </c>
      <c r="L156" s="84">
        <v>0</v>
      </c>
      <c r="M156" s="84">
        <v>0</v>
      </c>
      <c r="N156" s="84"/>
      <c r="P156" s="84" t="s">
        <v>493</v>
      </c>
      <c r="Q156" s="84">
        <v>0</v>
      </c>
      <c r="R156" s="84">
        <v>0</v>
      </c>
      <c r="S156" s="84">
        <v>0</v>
      </c>
      <c r="T156" s="84">
        <v>0</v>
      </c>
      <c r="U156" s="84"/>
      <c r="W156" s="84" t="s">
        <v>493</v>
      </c>
      <c r="X156" s="84">
        <v>0</v>
      </c>
      <c r="Y156" s="84">
        <v>0</v>
      </c>
      <c r="Z156" s="84">
        <v>0</v>
      </c>
      <c r="AA156" s="84">
        <v>0</v>
      </c>
      <c r="AB156" s="84"/>
    </row>
    <row r="157" spans="2:28" x14ac:dyDescent="0.3">
      <c r="B157" s="84" t="s">
        <v>494</v>
      </c>
      <c r="C157" s="84">
        <v>7931</v>
      </c>
      <c r="D157" s="84">
        <v>8851</v>
      </c>
      <c r="E157" s="84">
        <v>10101</v>
      </c>
      <c r="F157" s="84">
        <v>10057</v>
      </c>
      <c r="G157" s="84"/>
      <c r="I157" s="84" t="s">
        <v>494</v>
      </c>
      <c r="J157" s="84">
        <v>15859</v>
      </c>
      <c r="K157" s="84">
        <v>16936</v>
      </c>
      <c r="L157" s="84">
        <v>18291</v>
      </c>
      <c r="M157" s="84">
        <v>15756</v>
      </c>
      <c r="N157" s="84"/>
      <c r="P157" s="84" t="s">
        <v>494</v>
      </c>
      <c r="Q157" s="84">
        <v>24350</v>
      </c>
      <c r="R157" s="84">
        <v>25044</v>
      </c>
      <c r="S157" s="84">
        <v>24392</v>
      </c>
      <c r="T157" s="84">
        <v>21066</v>
      </c>
      <c r="U157" s="84"/>
      <c r="W157" s="84" t="s">
        <v>494</v>
      </c>
      <c r="X157" s="84">
        <v>43902</v>
      </c>
      <c r="Y157" s="84">
        <v>40123</v>
      </c>
      <c r="Z157" s="84">
        <v>37655</v>
      </c>
      <c r="AA157" s="84">
        <v>31495</v>
      </c>
      <c r="AB157" s="84"/>
    </row>
    <row r="158" spans="2:28" x14ac:dyDescent="0.3">
      <c r="B158" s="84" t="s">
        <v>495</v>
      </c>
      <c r="C158" s="84">
        <v>7931</v>
      </c>
      <c r="D158" s="84">
        <v>8851</v>
      </c>
      <c r="E158" s="84">
        <v>10101</v>
      </c>
      <c r="F158" s="84">
        <v>10057</v>
      </c>
      <c r="G158" s="84"/>
      <c r="I158" s="84" t="s">
        <v>495</v>
      </c>
      <c r="J158" s="84">
        <v>15859</v>
      </c>
      <c r="K158" s="84">
        <v>16936</v>
      </c>
      <c r="L158" s="84">
        <v>18291</v>
      </c>
      <c r="M158" s="84">
        <v>15756</v>
      </c>
      <c r="N158" s="84"/>
      <c r="P158" s="84" t="s">
        <v>495</v>
      </c>
      <c r="Q158" s="84">
        <v>24350</v>
      </c>
      <c r="R158" s="84">
        <v>25044</v>
      </c>
      <c r="S158" s="84">
        <v>24392</v>
      </c>
      <c r="T158" s="84">
        <v>21066</v>
      </c>
      <c r="U158" s="84"/>
      <c r="W158" s="84" t="s">
        <v>495</v>
      </c>
      <c r="X158" s="84">
        <v>43902</v>
      </c>
      <c r="Y158" s="84">
        <v>40123</v>
      </c>
      <c r="Z158" s="84">
        <v>37655</v>
      </c>
      <c r="AA158" s="84">
        <v>31495</v>
      </c>
      <c r="AB158" s="84"/>
    </row>
    <row r="159" spans="2:28" x14ac:dyDescent="0.3">
      <c r="B159" s="84" t="s">
        <v>496</v>
      </c>
      <c r="C159" s="84">
        <v>0</v>
      </c>
      <c r="D159" s="84">
        <v>0</v>
      </c>
      <c r="E159" s="84">
        <v>0</v>
      </c>
      <c r="F159" s="84">
        <v>0</v>
      </c>
      <c r="G159" s="84"/>
      <c r="I159" s="84" t="s">
        <v>496</v>
      </c>
      <c r="J159" s="84">
        <v>0</v>
      </c>
      <c r="K159" s="84">
        <v>0</v>
      </c>
      <c r="L159" s="84">
        <v>0</v>
      </c>
      <c r="M159" s="84">
        <v>0</v>
      </c>
      <c r="N159" s="84"/>
      <c r="P159" s="84" t="s">
        <v>496</v>
      </c>
      <c r="Q159" s="84">
        <v>0</v>
      </c>
      <c r="R159" s="84">
        <v>0</v>
      </c>
      <c r="S159" s="84">
        <v>0</v>
      </c>
      <c r="T159" s="84">
        <v>0</v>
      </c>
      <c r="U159" s="84"/>
      <c r="W159" s="84" t="s">
        <v>496</v>
      </c>
      <c r="X159" s="84">
        <v>0</v>
      </c>
      <c r="Y159" s="84">
        <v>0</v>
      </c>
      <c r="Z159" s="84">
        <v>0</v>
      </c>
      <c r="AA159" s="84">
        <v>0</v>
      </c>
      <c r="AB159" s="84"/>
    </row>
    <row r="160" spans="2:28" x14ac:dyDescent="0.3">
      <c r="B160" s="84" t="s">
        <v>497</v>
      </c>
      <c r="C160" s="84">
        <v>0</v>
      </c>
      <c r="D160" s="84">
        <v>0</v>
      </c>
      <c r="E160" s="84">
        <v>0</v>
      </c>
      <c r="F160" s="84">
        <v>0</v>
      </c>
      <c r="G160" s="84"/>
      <c r="I160" s="84" t="s">
        <v>497</v>
      </c>
      <c r="J160" s="84">
        <v>0</v>
      </c>
      <c r="K160" s="84">
        <v>0</v>
      </c>
      <c r="L160" s="84">
        <v>0</v>
      </c>
      <c r="M160" s="84">
        <v>0</v>
      </c>
      <c r="N160" s="84"/>
      <c r="P160" s="84" t="s">
        <v>497</v>
      </c>
      <c r="Q160" s="84">
        <v>0</v>
      </c>
      <c r="R160" s="84">
        <v>0</v>
      </c>
      <c r="S160" s="84">
        <v>0</v>
      </c>
      <c r="T160" s="84">
        <v>0</v>
      </c>
      <c r="U160" s="84"/>
      <c r="W160" s="84" t="s">
        <v>497</v>
      </c>
      <c r="X160" s="84">
        <v>0</v>
      </c>
      <c r="Y160" s="84">
        <v>0</v>
      </c>
      <c r="Z160" s="84">
        <v>0</v>
      </c>
      <c r="AA160" s="84">
        <v>0</v>
      </c>
      <c r="AB160" s="84"/>
    </row>
    <row r="161" spans="2:28" x14ac:dyDescent="0.3">
      <c r="B161" s="84" t="s">
        <v>498</v>
      </c>
      <c r="C161" s="84">
        <v>0.09</v>
      </c>
      <c r="D161" s="84">
        <v>0.11</v>
      </c>
      <c r="E161" s="84">
        <v>0.24</v>
      </c>
      <c r="F161" s="84">
        <v>0.31</v>
      </c>
      <c r="G161" s="84"/>
      <c r="I161" s="84" t="s">
        <v>498</v>
      </c>
      <c r="J161" s="84">
        <v>0.19</v>
      </c>
      <c r="K161" s="84">
        <v>0.2</v>
      </c>
      <c r="L161" s="84">
        <v>0.21</v>
      </c>
      <c r="M161" s="84">
        <v>0.37</v>
      </c>
      <c r="N161" s="84"/>
      <c r="P161" s="84" t="s">
        <v>498</v>
      </c>
      <c r="Q161" s="84">
        <v>0.28999999999999998</v>
      </c>
      <c r="R161" s="84">
        <v>0.28999999999999998</v>
      </c>
      <c r="S161" s="84">
        <v>0.56999999999999995</v>
      </c>
      <c r="T161" s="84">
        <v>0.66</v>
      </c>
      <c r="U161" s="84"/>
      <c r="W161" s="84" t="s">
        <v>498</v>
      </c>
      <c r="X161" s="84">
        <v>0.52</v>
      </c>
      <c r="Y161" s="84">
        <v>0.47</v>
      </c>
      <c r="Z161" s="84">
        <v>0.9</v>
      </c>
      <c r="AA161" s="84">
        <v>0.98</v>
      </c>
      <c r="AB161" s="84"/>
    </row>
    <row r="164" spans="2:28" x14ac:dyDescent="0.3">
      <c r="B164" t="s">
        <v>754</v>
      </c>
    </row>
    <row r="166" spans="2:28" x14ac:dyDescent="0.3">
      <c r="B166" s="84" t="s">
        <v>346</v>
      </c>
      <c r="C166" s="2">
        <v>42825</v>
      </c>
      <c r="D166" s="2">
        <v>42460</v>
      </c>
      <c r="E166" s="2">
        <v>42094</v>
      </c>
      <c r="F166" s="2">
        <v>41729</v>
      </c>
      <c r="G166" s="84"/>
      <c r="I166" s="84" t="s">
        <v>346</v>
      </c>
      <c r="J166" s="2">
        <v>42916</v>
      </c>
      <c r="K166" s="2">
        <v>42551</v>
      </c>
      <c r="L166" s="2">
        <v>42185</v>
      </c>
      <c r="M166" s="2">
        <v>41820</v>
      </c>
      <c r="N166" s="84"/>
      <c r="P166" s="84" t="s">
        <v>346</v>
      </c>
      <c r="Q166" s="2">
        <v>42643</v>
      </c>
      <c r="R166" s="2">
        <v>42277</v>
      </c>
      <c r="S166" s="2">
        <v>41912</v>
      </c>
      <c r="T166" s="2">
        <v>41547</v>
      </c>
      <c r="U166" s="84"/>
      <c r="W166" s="84" t="s">
        <v>346</v>
      </c>
      <c r="X166" s="2">
        <v>42735</v>
      </c>
      <c r="Y166" s="2">
        <v>42369</v>
      </c>
      <c r="Z166" s="2">
        <v>42004</v>
      </c>
      <c r="AA166" s="2">
        <v>41639</v>
      </c>
      <c r="AB166" s="84"/>
    </row>
    <row r="167" spans="2:28" x14ac:dyDescent="0.3">
      <c r="B167" s="84" t="s">
        <v>499</v>
      </c>
      <c r="C167" s="84">
        <v>64779</v>
      </c>
      <c r="D167" s="84">
        <v>58840</v>
      </c>
      <c r="E167" s="84">
        <v>52621</v>
      </c>
      <c r="F167" s="84">
        <v>52758</v>
      </c>
      <c r="G167" s="84"/>
      <c r="I167" s="84" t="s">
        <v>499</v>
      </c>
      <c r="J167" s="84">
        <v>127829</v>
      </c>
      <c r="K167" s="84">
        <v>112586</v>
      </c>
      <c r="L167" s="84">
        <v>97394</v>
      </c>
      <c r="M167" s="84">
        <v>99998</v>
      </c>
      <c r="N167" s="84"/>
      <c r="P167" s="84" t="s">
        <v>499</v>
      </c>
      <c r="Q167" s="84">
        <v>165021</v>
      </c>
      <c r="R167" s="84">
        <v>148481</v>
      </c>
      <c r="S167" s="84">
        <v>153387</v>
      </c>
      <c r="T167" s="84">
        <v>143885</v>
      </c>
      <c r="U167" s="84"/>
      <c r="W167" s="84" t="s">
        <v>499</v>
      </c>
      <c r="X167" s="84">
        <v>301163</v>
      </c>
      <c r="Y167" s="84">
        <v>276400</v>
      </c>
      <c r="Z167" s="84">
        <v>264313</v>
      </c>
      <c r="AA167" s="84">
        <v>216687</v>
      </c>
      <c r="AB167" s="84"/>
    </row>
    <row r="168" spans="2:28" x14ac:dyDescent="0.3">
      <c r="B168" s="84" t="s">
        <v>500</v>
      </c>
      <c r="C168" s="84">
        <v>0</v>
      </c>
      <c r="D168" s="84">
        <v>0</v>
      </c>
      <c r="E168" s="84">
        <v>0</v>
      </c>
      <c r="F168" s="84">
        <v>0</v>
      </c>
      <c r="G168" s="84"/>
      <c r="I168" s="84" t="s">
        <v>500</v>
      </c>
      <c r="J168" s="84">
        <v>0</v>
      </c>
      <c r="K168" s="84">
        <v>0</v>
      </c>
      <c r="L168" s="84">
        <v>0</v>
      </c>
      <c r="M168" s="84">
        <v>0</v>
      </c>
      <c r="N168" s="84"/>
      <c r="P168" s="84" t="s">
        <v>500</v>
      </c>
      <c r="Q168" s="84">
        <v>0</v>
      </c>
      <c r="R168" s="84">
        <v>0</v>
      </c>
      <c r="S168" s="84">
        <v>0</v>
      </c>
      <c r="T168" s="84">
        <v>0</v>
      </c>
      <c r="U168" s="84"/>
      <c r="W168" s="84" t="s">
        <v>500</v>
      </c>
      <c r="X168" s="84">
        <v>0</v>
      </c>
      <c r="Y168" s="84">
        <v>0</v>
      </c>
      <c r="Z168" s="84">
        <v>0</v>
      </c>
      <c r="AA168" s="84">
        <v>0</v>
      </c>
      <c r="AB168" s="84"/>
    </row>
    <row r="169" spans="2:28" x14ac:dyDescent="0.3">
      <c r="B169" s="84" t="s">
        <v>501</v>
      </c>
      <c r="C169" s="84">
        <v>0</v>
      </c>
      <c r="D169" s="84">
        <v>0</v>
      </c>
      <c r="E169" s="84">
        <v>0</v>
      </c>
      <c r="F169" s="84">
        <v>0</v>
      </c>
      <c r="G169" s="84"/>
      <c r="I169" s="84" t="s">
        <v>501</v>
      </c>
      <c r="J169" s="84">
        <v>0</v>
      </c>
      <c r="K169" s="84">
        <v>0</v>
      </c>
      <c r="L169" s="84">
        <v>0</v>
      </c>
      <c r="M169" s="84">
        <v>0</v>
      </c>
      <c r="N169" s="84"/>
      <c r="P169" s="84" t="s">
        <v>501</v>
      </c>
      <c r="Q169" s="84">
        <v>0</v>
      </c>
      <c r="R169" s="84">
        <v>0</v>
      </c>
      <c r="S169" s="84">
        <v>0</v>
      </c>
      <c r="T169" s="84">
        <v>0</v>
      </c>
      <c r="U169" s="84"/>
      <c r="W169" s="84" t="s">
        <v>501</v>
      </c>
      <c r="X169" s="84">
        <v>0</v>
      </c>
      <c r="Y169" s="84">
        <v>0</v>
      </c>
      <c r="Z169" s="84">
        <v>0</v>
      </c>
      <c r="AA169" s="84">
        <v>0</v>
      </c>
      <c r="AB169" s="84"/>
    </row>
    <row r="170" spans="2:28" x14ac:dyDescent="0.3">
      <c r="B170" s="84" t="s">
        <v>502</v>
      </c>
      <c r="C170" s="84">
        <v>0</v>
      </c>
      <c r="D170" s="84">
        <v>0</v>
      </c>
      <c r="E170" s="84">
        <v>0</v>
      </c>
      <c r="F170" s="84">
        <v>0</v>
      </c>
      <c r="G170" s="84"/>
      <c r="I170" s="84" t="s">
        <v>502</v>
      </c>
      <c r="J170" s="84">
        <v>0</v>
      </c>
      <c r="K170" s="84">
        <v>0</v>
      </c>
      <c r="L170" s="84">
        <v>0</v>
      </c>
      <c r="M170" s="84">
        <v>0</v>
      </c>
      <c r="N170" s="84"/>
      <c r="P170" s="84" t="s">
        <v>502</v>
      </c>
      <c r="Q170" s="84">
        <v>0</v>
      </c>
      <c r="R170" s="84">
        <v>0</v>
      </c>
      <c r="S170" s="84">
        <v>0</v>
      </c>
      <c r="T170" s="84">
        <v>0</v>
      </c>
      <c r="U170" s="84"/>
      <c r="W170" s="84" t="s">
        <v>502</v>
      </c>
      <c r="X170" s="84">
        <v>0</v>
      </c>
      <c r="Y170" s="84">
        <v>0</v>
      </c>
      <c r="Z170" s="84">
        <v>0</v>
      </c>
      <c r="AA170" s="84">
        <v>0</v>
      </c>
      <c r="AB170" s="84"/>
    </row>
    <row r="171" spans="2:28" x14ac:dyDescent="0.3">
      <c r="B171" s="84" t="s">
        <v>503</v>
      </c>
      <c r="C171" s="84">
        <v>0</v>
      </c>
      <c r="D171" s="84">
        <v>0</v>
      </c>
      <c r="E171" s="84">
        <v>0</v>
      </c>
      <c r="F171" s="84">
        <v>0</v>
      </c>
      <c r="G171" s="84"/>
      <c r="I171" s="84" t="s">
        <v>503</v>
      </c>
      <c r="J171" s="84">
        <v>0</v>
      </c>
      <c r="K171" s="84">
        <v>0</v>
      </c>
      <c r="L171" s="84">
        <v>0</v>
      </c>
      <c r="M171" s="84">
        <v>0</v>
      </c>
      <c r="N171" s="84"/>
      <c r="P171" s="84" t="s">
        <v>503</v>
      </c>
      <c r="Q171" s="84">
        <v>0</v>
      </c>
      <c r="R171" s="84">
        <v>0</v>
      </c>
      <c r="S171" s="84">
        <v>0</v>
      </c>
      <c r="T171" s="84">
        <v>0</v>
      </c>
      <c r="U171" s="84"/>
      <c r="W171" s="84" t="s">
        <v>503</v>
      </c>
      <c r="X171" s="84">
        <v>0</v>
      </c>
      <c r="Y171" s="84">
        <v>0</v>
      </c>
      <c r="Z171" s="84">
        <v>0</v>
      </c>
      <c r="AA171" s="84">
        <v>0</v>
      </c>
      <c r="AB171" s="84"/>
    </row>
    <row r="172" spans="2:28" x14ac:dyDescent="0.3">
      <c r="B172" s="84" t="s">
        <v>504</v>
      </c>
      <c r="C172" s="84">
        <v>0</v>
      </c>
      <c r="D172" s="84">
        <v>0</v>
      </c>
      <c r="E172" s="84">
        <v>0</v>
      </c>
      <c r="F172" s="84">
        <v>0</v>
      </c>
      <c r="G172" s="84"/>
      <c r="I172" s="84" t="s">
        <v>504</v>
      </c>
      <c r="J172" s="84">
        <v>0</v>
      </c>
      <c r="K172" s="84">
        <v>0</v>
      </c>
      <c r="L172" s="84">
        <v>0</v>
      </c>
      <c r="M172" s="84">
        <v>0</v>
      </c>
      <c r="N172" s="84"/>
      <c r="P172" s="84" t="s">
        <v>504</v>
      </c>
      <c r="Q172" s="84">
        <v>0</v>
      </c>
      <c r="R172" s="84">
        <v>0</v>
      </c>
      <c r="S172" s="84">
        <v>0</v>
      </c>
      <c r="T172" s="84">
        <v>0</v>
      </c>
      <c r="U172" s="84"/>
      <c r="W172" s="84" t="s">
        <v>504</v>
      </c>
      <c r="X172" s="84">
        <v>0</v>
      </c>
      <c r="Y172" s="84">
        <v>0</v>
      </c>
      <c r="Z172" s="84">
        <v>0</v>
      </c>
      <c r="AA172" s="84">
        <v>0</v>
      </c>
      <c r="AB172" s="84"/>
    </row>
    <row r="173" spans="2:28" x14ac:dyDescent="0.3">
      <c r="B173" s="84" t="s">
        <v>505</v>
      </c>
      <c r="C173" s="84">
        <v>0</v>
      </c>
      <c r="D173" s="84">
        <v>0</v>
      </c>
      <c r="E173" s="84">
        <v>0</v>
      </c>
      <c r="F173" s="84">
        <v>0</v>
      </c>
      <c r="G173" s="84"/>
      <c r="I173" s="84" t="s">
        <v>505</v>
      </c>
      <c r="J173" s="84">
        <v>0</v>
      </c>
      <c r="K173" s="84">
        <v>0</v>
      </c>
      <c r="L173" s="84">
        <v>0</v>
      </c>
      <c r="M173" s="84">
        <v>0</v>
      </c>
      <c r="N173" s="84"/>
      <c r="P173" s="84" t="s">
        <v>505</v>
      </c>
      <c r="Q173" s="84">
        <v>0</v>
      </c>
      <c r="R173" s="84">
        <v>0</v>
      </c>
      <c r="S173" s="84">
        <v>0</v>
      </c>
      <c r="T173" s="84">
        <v>0</v>
      </c>
      <c r="U173" s="84"/>
      <c r="W173" s="84" t="s">
        <v>505</v>
      </c>
      <c r="X173" s="84">
        <v>0</v>
      </c>
      <c r="Y173" s="84">
        <v>0</v>
      </c>
      <c r="Z173" s="84">
        <v>0</v>
      </c>
      <c r="AA173" s="84">
        <v>0</v>
      </c>
      <c r="AB173" s="84"/>
    </row>
    <row r="174" spans="2:28" x14ac:dyDescent="0.3">
      <c r="B174" s="84" t="s">
        <v>506</v>
      </c>
      <c r="C174" s="84">
        <v>0</v>
      </c>
      <c r="D174" s="84">
        <v>0</v>
      </c>
      <c r="E174" s="84">
        <v>0</v>
      </c>
      <c r="F174" s="84">
        <v>0</v>
      </c>
      <c r="G174" s="84"/>
      <c r="I174" s="84" t="s">
        <v>506</v>
      </c>
      <c r="J174" s="84">
        <v>0</v>
      </c>
      <c r="K174" s="84">
        <v>0</v>
      </c>
      <c r="L174" s="84">
        <v>0</v>
      </c>
      <c r="M174" s="84">
        <v>0</v>
      </c>
      <c r="N174" s="84"/>
      <c r="P174" s="84" t="s">
        <v>506</v>
      </c>
      <c r="Q174" s="84">
        <v>0</v>
      </c>
      <c r="R174" s="84">
        <v>0</v>
      </c>
      <c r="S174" s="84">
        <v>0</v>
      </c>
      <c r="T174" s="84">
        <v>0</v>
      </c>
      <c r="U174" s="84"/>
      <c r="W174" s="84" t="s">
        <v>506</v>
      </c>
      <c r="X174" s="84">
        <v>0</v>
      </c>
      <c r="Y174" s="84">
        <v>0</v>
      </c>
      <c r="Z174" s="84">
        <v>0</v>
      </c>
      <c r="AA174" s="84">
        <v>0</v>
      </c>
      <c r="AB174" s="84"/>
    </row>
    <row r="175" spans="2:28" x14ac:dyDescent="0.3">
      <c r="B175" s="84" t="s">
        <v>507</v>
      </c>
      <c r="C175" s="84">
        <v>0</v>
      </c>
      <c r="D175" s="84">
        <v>0</v>
      </c>
      <c r="E175" s="84">
        <v>0</v>
      </c>
      <c r="F175" s="84">
        <v>0</v>
      </c>
      <c r="G175" s="84"/>
      <c r="I175" s="84" t="s">
        <v>507</v>
      </c>
      <c r="J175" s="84">
        <v>0</v>
      </c>
      <c r="K175" s="84">
        <v>0</v>
      </c>
      <c r="L175" s="84">
        <v>0</v>
      </c>
      <c r="M175" s="84">
        <v>0</v>
      </c>
      <c r="N175" s="84"/>
      <c r="P175" s="84" t="s">
        <v>507</v>
      </c>
      <c r="Q175" s="84">
        <v>0</v>
      </c>
      <c r="R175" s="84">
        <v>0</v>
      </c>
      <c r="S175" s="84">
        <v>0</v>
      </c>
      <c r="T175" s="84">
        <v>0</v>
      </c>
      <c r="U175" s="84"/>
      <c r="W175" s="84" t="s">
        <v>507</v>
      </c>
      <c r="X175" s="84">
        <v>0</v>
      </c>
      <c r="Y175" s="84">
        <v>0</v>
      </c>
      <c r="Z175" s="84">
        <v>0</v>
      </c>
      <c r="AA175" s="84">
        <v>0</v>
      </c>
      <c r="AB175" s="84"/>
    </row>
    <row r="176" spans="2:28" x14ac:dyDescent="0.3">
      <c r="B176" s="84" t="s">
        <v>508</v>
      </c>
      <c r="C176" s="84">
        <v>0</v>
      </c>
      <c r="D176" s="84">
        <v>0</v>
      </c>
      <c r="E176" s="84">
        <v>0</v>
      </c>
      <c r="F176" s="84">
        <v>0</v>
      </c>
      <c r="G176" s="84"/>
      <c r="I176" s="84" t="s">
        <v>508</v>
      </c>
      <c r="J176" s="84">
        <v>0</v>
      </c>
      <c r="K176" s="84">
        <v>0</v>
      </c>
      <c r="L176" s="84">
        <v>0</v>
      </c>
      <c r="M176" s="84">
        <v>0</v>
      </c>
      <c r="N176" s="84"/>
      <c r="P176" s="84" t="s">
        <v>508</v>
      </c>
      <c r="Q176" s="84">
        <v>0</v>
      </c>
      <c r="R176" s="84">
        <v>0</v>
      </c>
      <c r="S176" s="84">
        <v>0</v>
      </c>
      <c r="T176" s="84">
        <v>0</v>
      </c>
      <c r="U176" s="84"/>
      <c r="W176" s="84" t="s">
        <v>508</v>
      </c>
      <c r="X176" s="84">
        <v>0</v>
      </c>
      <c r="Y176" s="84">
        <v>0</v>
      </c>
      <c r="Z176" s="84">
        <v>0</v>
      </c>
      <c r="AA176" s="84">
        <v>0</v>
      </c>
      <c r="AB176" s="84"/>
    </row>
    <row r="177" spans="2:28" x14ac:dyDescent="0.3">
      <c r="B177" s="84" t="s">
        <v>509</v>
      </c>
      <c r="C177" s="84">
        <v>0</v>
      </c>
      <c r="D177" s="84">
        <v>0</v>
      </c>
      <c r="E177" s="84">
        <v>0</v>
      </c>
      <c r="F177" s="84">
        <v>0</v>
      </c>
      <c r="G177" s="84"/>
      <c r="I177" s="84" t="s">
        <v>509</v>
      </c>
      <c r="J177" s="84">
        <v>0</v>
      </c>
      <c r="K177" s="84">
        <v>0</v>
      </c>
      <c r="L177" s="84">
        <v>0</v>
      </c>
      <c r="M177" s="84">
        <v>0</v>
      </c>
      <c r="N177" s="84"/>
      <c r="P177" s="84" t="s">
        <v>509</v>
      </c>
      <c r="Q177" s="84">
        <v>0</v>
      </c>
      <c r="R177" s="84">
        <v>0</v>
      </c>
      <c r="S177" s="84">
        <v>0</v>
      </c>
      <c r="T177" s="84">
        <v>0</v>
      </c>
      <c r="U177" s="84"/>
      <c r="W177" s="84" t="s">
        <v>509</v>
      </c>
      <c r="X177" s="84">
        <v>0</v>
      </c>
      <c r="Y177" s="84">
        <v>0</v>
      </c>
      <c r="Z177" s="84">
        <v>0</v>
      </c>
      <c r="AA177" s="84">
        <v>0</v>
      </c>
      <c r="AB177" s="84"/>
    </row>
    <row r="178" spans="2:28" x14ac:dyDescent="0.3">
      <c r="B178" s="84" t="s">
        <v>510</v>
      </c>
      <c r="C178" s="84">
        <v>2</v>
      </c>
      <c r="D178" s="84">
        <v>1</v>
      </c>
      <c r="E178" s="84">
        <v>0</v>
      </c>
      <c r="F178" s="84">
        <v>7</v>
      </c>
      <c r="G178" s="84"/>
      <c r="I178" s="84" t="s">
        <v>510</v>
      </c>
      <c r="J178" s="84">
        <v>240</v>
      </c>
      <c r="K178" s="84">
        <v>2</v>
      </c>
      <c r="L178" s="84">
        <v>2</v>
      </c>
      <c r="M178" s="84">
        <v>14</v>
      </c>
      <c r="N178" s="84"/>
      <c r="P178" s="84" t="s">
        <v>510</v>
      </c>
      <c r="Q178" s="84">
        <v>154</v>
      </c>
      <c r="R178" s="84">
        <v>58</v>
      </c>
      <c r="S178" s="84">
        <v>14</v>
      </c>
      <c r="T178" s="84">
        <v>31</v>
      </c>
      <c r="U178" s="84"/>
      <c r="W178" s="84" t="s">
        <v>510</v>
      </c>
      <c r="X178" s="84">
        <v>0</v>
      </c>
      <c r="Y178" s="84">
        <v>0</v>
      </c>
      <c r="Z178" s="84">
        <v>0</v>
      </c>
      <c r="AA178" s="84">
        <v>0</v>
      </c>
      <c r="AB178" s="84"/>
    </row>
    <row r="179" spans="2:28" x14ac:dyDescent="0.3">
      <c r="B179" s="84" t="s">
        <v>511</v>
      </c>
      <c r="C179" s="84">
        <v>505</v>
      </c>
      <c r="D179" s="84">
        <v>504</v>
      </c>
      <c r="E179" s="84">
        <v>1446</v>
      </c>
      <c r="F179" s="84">
        <v>1611</v>
      </c>
      <c r="G179" s="84"/>
      <c r="I179" s="84" t="s">
        <v>511</v>
      </c>
      <c r="J179" s="84">
        <v>2773</v>
      </c>
      <c r="K179" s="84">
        <v>3469</v>
      </c>
      <c r="L179" s="84">
        <v>2728</v>
      </c>
      <c r="M179" s="84">
        <v>4875</v>
      </c>
      <c r="N179" s="84"/>
      <c r="P179" s="84" t="s">
        <v>511</v>
      </c>
      <c r="Q179" s="84">
        <v>6863</v>
      </c>
      <c r="R179" s="84">
        <v>5476</v>
      </c>
      <c r="S179" s="84">
        <v>4848</v>
      </c>
      <c r="T179" s="84">
        <v>3781</v>
      </c>
      <c r="U179" s="84"/>
      <c r="W179" s="84" t="s">
        <v>511</v>
      </c>
      <c r="X179" s="84">
        <v>3628</v>
      </c>
      <c r="Y179" s="84">
        <v>3431</v>
      </c>
      <c r="Z179" s="84">
        <v>2410</v>
      </c>
      <c r="AA179" s="84">
        <v>2749</v>
      </c>
      <c r="AB179" s="84"/>
    </row>
    <row r="180" spans="2:28" x14ac:dyDescent="0.3">
      <c r="B180" s="84" t="s">
        <v>512</v>
      </c>
      <c r="C180" s="84">
        <v>65285</v>
      </c>
      <c r="D180" s="84">
        <v>59345</v>
      </c>
      <c r="E180" s="84">
        <v>54066</v>
      </c>
      <c r="F180" s="84">
        <v>54376</v>
      </c>
      <c r="G180" s="84"/>
      <c r="I180" s="84" t="s">
        <v>512</v>
      </c>
      <c r="J180" s="84">
        <v>130841</v>
      </c>
      <c r="K180" s="84">
        <v>116057</v>
      </c>
      <c r="L180" s="84">
        <v>100124</v>
      </c>
      <c r="M180" s="84">
        <v>104887</v>
      </c>
      <c r="N180" s="84"/>
      <c r="P180" s="84" t="s">
        <v>512</v>
      </c>
      <c r="Q180" s="84">
        <v>172038</v>
      </c>
      <c r="R180" s="84">
        <v>154015</v>
      </c>
      <c r="S180" s="84">
        <v>158250</v>
      </c>
      <c r="T180" s="84">
        <v>147697</v>
      </c>
      <c r="U180" s="84"/>
      <c r="W180" s="84" t="s">
        <v>512</v>
      </c>
      <c r="X180" s="84">
        <v>304792</v>
      </c>
      <c r="Y180" s="84">
        <v>279831</v>
      </c>
      <c r="Z180" s="84">
        <v>266723</v>
      </c>
      <c r="AA180" s="84">
        <v>219436</v>
      </c>
      <c r="AB180" s="84"/>
    </row>
    <row r="181" spans="2:28" x14ac:dyDescent="0.3">
      <c r="B181" s="84" t="s">
        <v>513</v>
      </c>
      <c r="C181" s="84">
        <v>40286</v>
      </c>
      <c r="D181" s="84">
        <v>29129</v>
      </c>
      <c r="E181" s="84">
        <v>31718</v>
      </c>
      <c r="F181" s="84">
        <v>26936</v>
      </c>
      <c r="G181" s="84"/>
      <c r="I181" s="84" t="s">
        <v>513</v>
      </c>
      <c r="J181" s="84">
        <v>78377</v>
      </c>
      <c r="K181" s="84">
        <v>49407</v>
      </c>
      <c r="L181" s="84">
        <v>55999</v>
      </c>
      <c r="M181" s="84">
        <v>54363</v>
      </c>
      <c r="N181" s="84"/>
      <c r="P181" s="84" t="s">
        <v>513</v>
      </c>
      <c r="Q181" s="84">
        <v>80203</v>
      </c>
      <c r="R181" s="84">
        <v>78614</v>
      </c>
      <c r="S181" s="84">
        <v>80374</v>
      </c>
      <c r="T181" s="84">
        <v>89220</v>
      </c>
      <c r="U181" s="84"/>
      <c r="W181" s="84" t="s">
        <v>513</v>
      </c>
      <c r="X181" s="84">
        <v>159510</v>
      </c>
      <c r="Y181" s="84">
        <v>150982</v>
      </c>
      <c r="Z181" s="84">
        <v>129890</v>
      </c>
      <c r="AA181" s="84">
        <v>112603</v>
      </c>
      <c r="AB181" s="84"/>
    </row>
    <row r="182" spans="2:28" x14ac:dyDescent="0.3">
      <c r="B182" s="84" t="s">
        <v>514</v>
      </c>
      <c r="C182" s="84">
        <v>0</v>
      </c>
      <c r="D182" s="84">
        <v>0</v>
      </c>
      <c r="E182" s="84">
        <v>0</v>
      </c>
      <c r="F182" s="84">
        <v>0</v>
      </c>
      <c r="G182" s="84"/>
      <c r="I182" s="84" t="s">
        <v>514</v>
      </c>
      <c r="J182" s="84">
        <v>0</v>
      </c>
      <c r="K182" s="84">
        <v>0</v>
      </c>
      <c r="L182" s="84">
        <v>0</v>
      </c>
      <c r="M182" s="84">
        <v>0</v>
      </c>
      <c r="N182" s="84"/>
      <c r="P182" s="84" t="s">
        <v>514</v>
      </c>
      <c r="Q182" s="84">
        <v>0</v>
      </c>
      <c r="R182" s="84">
        <v>0</v>
      </c>
      <c r="S182" s="84">
        <v>0</v>
      </c>
      <c r="T182" s="84">
        <v>0</v>
      </c>
      <c r="U182" s="84"/>
      <c r="W182" s="84" t="s">
        <v>514</v>
      </c>
      <c r="X182" s="84">
        <v>0</v>
      </c>
      <c r="Y182" s="84">
        <v>0</v>
      </c>
      <c r="Z182" s="84">
        <v>0</v>
      </c>
      <c r="AA182" s="84">
        <v>0</v>
      </c>
      <c r="AB182" s="84"/>
    </row>
    <row r="183" spans="2:28" x14ac:dyDescent="0.3">
      <c r="B183" s="84" t="s">
        <v>515</v>
      </c>
      <c r="C183" s="84">
        <v>0</v>
      </c>
      <c r="D183" s="84">
        <v>0</v>
      </c>
      <c r="E183" s="84">
        <v>0</v>
      </c>
      <c r="F183" s="84">
        <v>0</v>
      </c>
      <c r="G183" s="84"/>
      <c r="I183" s="84" t="s">
        <v>515</v>
      </c>
      <c r="J183" s="84">
        <v>0</v>
      </c>
      <c r="K183" s="84">
        <v>0</v>
      </c>
      <c r="L183" s="84">
        <v>0</v>
      </c>
      <c r="M183" s="84">
        <v>0</v>
      </c>
      <c r="N183" s="84"/>
      <c r="P183" s="84" t="s">
        <v>515</v>
      </c>
      <c r="Q183" s="84">
        <v>0</v>
      </c>
      <c r="R183" s="84">
        <v>0</v>
      </c>
      <c r="S183" s="84">
        <v>0</v>
      </c>
      <c r="T183" s="84">
        <v>0</v>
      </c>
      <c r="U183" s="84"/>
      <c r="W183" s="84" t="s">
        <v>515</v>
      </c>
      <c r="X183" s="84">
        <v>0</v>
      </c>
      <c r="Y183" s="84">
        <v>0</v>
      </c>
      <c r="Z183" s="84">
        <v>0</v>
      </c>
      <c r="AA183" s="84">
        <v>0</v>
      </c>
      <c r="AB183" s="84"/>
    </row>
    <row r="184" spans="2:28" x14ac:dyDescent="0.3">
      <c r="B184" s="84" t="s">
        <v>516</v>
      </c>
      <c r="C184" s="84">
        <v>0</v>
      </c>
      <c r="D184" s="84">
        <v>0</v>
      </c>
      <c r="E184" s="84">
        <v>0</v>
      </c>
      <c r="F184" s="84">
        <v>0</v>
      </c>
      <c r="G184" s="84"/>
      <c r="I184" s="84" t="s">
        <v>516</v>
      </c>
      <c r="J184" s="84">
        <v>0</v>
      </c>
      <c r="K184" s="84">
        <v>0</v>
      </c>
      <c r="L184" s="84">
        <v>0</v>
      </c>
      <c r="M184" s="84">
        <v>0</v>
      </c>
      <c r="N184" s="84"/>
      <c r="P184" s="84" t="s">
        <v>516</v>
      </c>
      <c r="Q184" s="84">
        <v>0</v>
      </c>
      <c r="R184" s="84">
        <v>0</v>
      </c>
      <c r="S184" s="84">
        <v>0</v>
      </c>
      <c r="T184" s="84">
        <v>0</v>
      </c>
      <c r="U184" s="84"/>
      <c r="W184" s="84" t="s">
        <v>516</v>
      </c>
      <c r="X184" s="84">
        <v>0</v>
      </c>
      <c r="Y184" s="84">
        <v>0</v>
      </c>
      <c r="Z184" s="84">
        <v>0</v>
      </c>
      <c r="AA184" s="84">
        <v>0</v>
      </c>
      <c r="AB184" s="84"/>
    </row>
    <row r="185" spans="2:28" x14ac:dyDescent="0.3">
      <c r="B185" s="84" t="s">
        <v>517</v>
      </c>
      <c r="C185" s="84">
        <v>0</v>
      </c>
      <c r="D185" s="84">
        <v>0</v>
      </c>
      <c r="E185" s="84">
        <v>0</v>
      </c>
      <c r="F185" s="84">
        <v>0</v>
      </c>
      <c r="G185" s="84"/>
      <c r="I185" s="84" t="s">
        <v>517</v>
      </c>
      <c r="J185" s="84">
        <v>0</v>
      </c>
      <c r="K185" s="84">
        <v>0</v>
      </c>
      <c r="L185" s="84">
        <v>0</v>
      </c>
      <c r="M185" s="84">
        <v>0</v>
      </c>
      <c r="N185" s="84"/>
      <c r="P185" s="84" t="s">
        <v>517</v>
      </c>
      <c r="Q185" s="84">
        <v>0</v>
      </c>
      <c r="R185" s="84">
        <v>0</v>
      </c>
      <c r="S185" s="84">
        <v>0</v>
      </c>
      <c r="T185" s="84">
        <v>0</v>
      </c>
      <c r="U185" s="84"/>
      <c r="W185" s="84" t="s">
        <v>517</v>
      </c>
      <c r="X185" s="84">
        <v>0</v>
      </c>
      <c r="Y185" s="84">
        <v>0</v>
      </c>
      <c r="Z185" s="84">
        <v>0</v>
      </c>
      <c r="AA185" s="84">
        <v>0</v>
      </c>
      <c r="AB185" s="84"/>
    </row>
    <row r="186" spans="2:28" x14ac:dyDescent="0.3">
      <c r="B186" s="84" t="s">
        <v>518</v>
      </c>
      <c r="C186" s="84">
        <v>0</v>
      </c>
      <c r="D186" s="84">
        <v>0</v>
      </c>
      <c r="E186" s="84">
        <v>0</v>
      </c>
      <c r="F186" s="84">
        <v>0</v>
      </c>
      <c r="G186" s="84"/>
      <c r="I186" s="84" t="s">
        <v>518</v>
      </c>
      <c r="J186" s="84">
        <v>0</v>
      </c>
      <c r="K186" s="84">
        <v>0</v>
      </c>
      <c r="L186" s="84">
        <v>0</v>
      </c>
      <c r="M186" s="84">
        <v>0</v>
      </c>
      <c r="N186" s="84"/>
      <c r="P186" s="84" t="s">
        <v>518</v>
      </c>
      <c r="Q186" s="84">
        <v>0</v>
      </c>
      <c r="R186" s="84">
        <v>0</v>
      </c>
      <c r="S186" s="84">
        <v>0</v>
      </c>
      <c r="T186" s="84">
        <v>0</v>
      </c>
      <c r="U186" s="84"/>
      <c r="W186" s="84" t="s">
        <v>518</v>
      </c>
      <c r="X186" s="84">
        <v>0</v>
      </c>
      <c r="Y186" s="84">
        <v>0</v>
      </c>
      <c r="Z186" s="84">
        <v>0</v>
      </c>
      <c r="AA186" s="84">
        <v>0</v>
      </c>
      <c r="AB186" s="84"/>
    </row>
    <row r="187" spans="2:28" x14ac:dyDescent="0.3">
      <c r="B187" s="84" t="s">
        <v>519</v>
      </c>
      <c r="C187" s="84">
        <v>9438</v>
      </c>
      <c r="D187" s="84">
        <v>8181</v>
      </c>
      <c r="E187" s="84">
        <v>7303</v>
      </c>
      <c r="F187" s="84">
        <v>6403</v>
      </c>
      <c r="G187" s="84"/>
      <c r="I187" s="84" t="s">
        <v>519</v>
      </c>
      <c r="J187" s="84">
        <v>18518</v>
      </c>
      <c r="K187" s="84">
        <v>16167</v>
      </c>
      <c r="L187" s="84">
        <v>14524</v>
      </c>
      <c r="M187" s="84">
        <v>12648</v>
      </c>
      <c r="N187" s="84"/>
      <c r="P187" s="84" t="s">
        <v>519</v>
      </c>
      <c r="Q187" s="84">
        <v>23986</v>
      </c>
      <c r="R187" s="84">
        <v>23039</v>
      </c>
      <c r="S187" s="84">
        <v>18952</v>
      </c>
      <c r="T187" s="84">
        <v>18159</v>
      </c>
      <c r="U187" s="84"/>
      <c r="W187" s="84" t="s">
        <v>519</v>
      </c>
      <c r="X187" s="84">
        <v>36727</v>
      </c>
      <c r="Y187" s="84">
        <v>32346</v>
      </c>
      <c r="Z187" s="84">
        <v>28268</v>
      </c>
      <c r="AA187" s="84">
        <v>28147</v>
      </c>
      <c r="AB187" s="84"/>
    </row>
    <row r="188" spans="2:28" x14ac:dyDescent="0.3">
      <c r="B188" s="84" t="s">
        <v>520</v>
      </c>
      <c r="C188" s="84">
        <v>10318</v>
      </c>
      <c r="D188" s="84">
        <v>9459</v>
      </c>
      <c r="E188" s="84">
        <v>8353</v>
      </c>
      <c r="F188" s="84">
        <v>6849</v>
      </c>
      <c r="G188" s="84"/>
      <c r="I188" s="84" t="s">
        <v>520</v>
      </c>
      <c r="J188" s="84">
        <v>21899</v>
      </c>
      <c r="K188" s="84">
        <v>21925</v>
      </c>
      <c r="L188" s="84">
        <v>17920</v>
      </c>
      <c r="M188" s="84">
        <v>18038</v>
      </c>
      <c r="N188" s="84"/>
      <c r="P188" s="84" t="s">
        <v>520</v>
      </c>
      <c r="Q188" s="84">
        <v>27428</v>
      </c>
      <c r="R188" s="84">
        <v>24207</v>
      </c>
      <c r="S188" s="84">
        <v>23039</v>
      </c>
      <c r="T188" s="84">
        <v>19589</v>
      </c>
      <c r="U188" s="84"/>
      <c r="W188" s="84" t="s">
        <v>520</v>
      </c>
      <c r="X188" s="84">
        <v>29626</v>
      </c>
      <c r="Y188" s="84">
        <v>31268</v>
      </c>
      <c r="Z188" s="84">
        <v>31513</v>
      </c>
      <c r="AA188" s="84">
        <v>29035</v>
      </c>
      <c r="AB188" s="84"/>
    </row>
    <row r="189" spans="2:28" x14ac:dyDescent="0.3">
      <c r="B189" s="84" t="s">
        <v>521</v>
      </c>
      <c r="C189" s="84">
        <v>9944</v>
      </c>
      <c r="D189" s="84">
        <v>8302</v>
      </c>
      <c r="E189" s="84">
        <v>7543</v>
      </c>
      <c r="F189" s="84">
        <v>5890</v>
      </c>
      <c r="G189" s="84"/>
      <c r="I189" s="84" t="s">
        <v>521</v>
      </c>
      <c r="J189" s="84">
        <v>29143</v>
      </c>
      <c r="K189" s="84">
        <v>20786</v>
      </c>
      <c r="L189" s="84">
        <v>16287</v>
      </c>
      <c r="M189" s="84">
        <v>13008</v>
      </c>
      <c r="N189" s="84"/>
      <c r="P189" s="84" t="s">
        <v>521</v>
      </c>
      <c r="Q189" s="84">
        <v>36576</v>
      </c>
      <c r="R189" s="84">
        <v>29198</v>
      </c>
      <c r="S189" s="84">
        <v>18909</v>
      </c>
      <c r="T189" s="84">
        <v>24177</v>
      </c>
      <c r="U189" s="84"/>
      <c r="W189" s="84" t="s">
        <v>521</v>
      </c>
      <c r="X189" s="84">
        <v>36947</v>
      </c>
      <c r="Y189" s="84">
        <v>36140</v>
      </c>
      <c r="Z189" s="84">
        <v>33474</v>
      </c>
      <c r="AA189" s="84">
        <v>27870</v>
      </c>
      <c r="AB189" s="84"/>
    </row>
    <row r="190" spans="2:28" x14ac:dyDescent="0.3">
      <c r="B190" s="84" t="s">
        <v>522</v>
      </c>
      <c r="C190" s="84">
        <v>69986</v>
      </c>
      <c r="D190" s="84">
        <v>55071</v>
      </c>
      <c r="E190" s="84">
        <v>54916</v>
      </c>
      <c r="F190" s="84">
        <v>46079</v>
      </c>
      <c r="G190" s="84"/>
      <c r="I190" s="84" t="s">
        <v>522</v>
      </c>
      <c r="J190" s="84">
        <v>147938</v>
      </c>
      <c r="K190" s="84">
        <v>108285</v>
      </c>
      <c r="L190" s="84">
        <v>104730</v>
      </c>
      <c r="M190" s="84">
        <v>98058</v>
      </c>
      <c r="N190" s="84"/>
      <c r="P190" s="84" t="s">
        <v>522</v>
      </c>
      <c r="Q190" s="84">
        <v>168192</v>
      </c>
      <c r="R190" s="84">
        <v>155059</v>
      </c>
      <c r="S190" s="84">
        <v>141275</v>
      </c>
      <c r="T190" s="84">
        <v>151145</v>
      </c>
      <c r="U190" s="84"/>
      <c r="W190" s="84" t="s">
        <v>522</v>
      </c>
      <c r="X190" s="84">
        <v>262811</v>
      </c>
      <c r="Y190" s="84">
        <v>250736</v>
      </c>
      <c r="Z190" s="84">
        <v>223146</v>
      </c>
      <c r="AA190" s="84">
        <v>197654</v>
      </c>
      <c r="AB190" s="84"/>
    </row>
    <row r="191" spans="2:28" x14ac:dyDescent="0.3">
      <c r="B191" s="84" t="s">
        <v>523</v>
      </c>
      <c r="C191" s="84">
        <v>-4701</v>
      </c>
      <c r="D191" s="84">
        <v>4273</v>
      </c>
      <c r="E191" s="84">
        <v>-850</v>
      </c>
      <c r="F191" s="84">
        <v>8298</v>
      </c>
      <c r="G191" s="84"/>
      <c r="I191" s="84" t="s">
        <v>523</v>
      </c>
      <c r="J191" s="84">
        <v>-17096</v>
      </c>
      <c r="K191" s="84">
        <v>7772</v>
      </c>
      <c r="L191" s="84">
        <v>-4606</v>
      </c>
      <c r="M191" s="84">
        <v>6829</v>
      </c>
      <c r="N191" s="84"/>
      <c r="P191" s="84" t="s">
        <v>523</v>
      </c>
      <c r="Q191" s="84">
        <v>3846</v>
      </c>
      <c r="R191" s="84">
        <v>-1044</v>
      </c>
      <c r="S191" s="84">
        <v>16975</v>
      </c>
      <c r="T191" s="84">
        <v>-3447</v>
      </c>
      <c r="U191" s="84"/>
      <c r="W191" s="84" t="s">
        <v>523</v>
      </c>
      <c r="X191" s="84">
        <v>41981</v>
      </c>
      <c r="Y191" s="84">
        <v>29095</v>
      </c>
      <c r="Z191" s="84">
        <v>43577</v>
      </c>
      <c r="AA191" s="84">
        <v>21781</v>
      </c>
      <c r="AB191" s="84"/>
    </row>
    <row r="192" spans="2:28" x14ac:dyDescent="0.3">
      <c r="B192" s="84" t="s">
        <v>524</v>
      </c>
      <c r="C192" s="84">
        <v>7000</v>
      </c>
      <c r="D192" s="84">
        <v>0</v>
      </c>
      <c r="E192" s="84">
        <v>17000</v>
      </c>
      <c r="F192" s="84">
        <v>5000</v>
      </c>
      <c r="G192" s="84"/>
      <c r="I192" s="84" t="s">
        <v>524</v>
      </c>
      <c r="J192" s="84">
        <v>22000</v>
      </c>
      <c r="K192" s="84">
        <v>20000</v>
      </c>
      <c r="L192" s="84">
        <v>29000</v>
      </c>
      <c r="M192" s="84">
        <v>14000</v>
      </c>
      <c r="N192" s="84"/>
      <c r="P192" s="84" t="s">
        <v>524</v>
      </c>
      <c r="Q192" s="84">
        <v>41000</v>
      </c>
      <c r="R192" s="84">
        <v>47000</v>
      </c>
      <c r="S192" s="84">
        <v>37000</v>
      </c>
      <c r="T192" s="84">
        <v>30000</v>
      </c>
      <c r="U192" s="84"/>
      <c r="W192" s="84" t="s">
        <v>524</v>
      </c>
      <c r="X192" s="84">
        <v>80867</v>
      </c>
      <c r="Y192" s="84">
        <v>65000</v>
      </c>
      <c r="Z192" s="84">
        <v>65000</v>
      </c>
      <c r="AA192" s="84">
        <v>56000</v>
      </c>
      <c r="AB192" s="84"/>
    </row>
    <row r="193" spans="2:28" x14ac:dyDescent="0.3">
      <c r="B193" s="84" t="s">
        <v>525</v>
      </c>
      <c r="C193" s="84">
        <v>3112</v>
      </c>
      <c r="D193" s="84">
        <v>47</v>
      </c>
      <c r="E193" s="84">
        <v>782</v>
      </c>
      <c r="F193" s="84">
        <v>547</v>
      </c>
      <c r="G193" s="84"/>
      <c r="I193" s="84" t="s">
        <v>525</v>
      </c>
      <c r="J193" s="84">
        <v>3332</v>
      </c>
      <c r="K193" s="84">
        <v>792</v>
      </c>
      <c r="L193" s="84">
        <v>953</v>
      </c>
      <c r="M193" s="84">
        <v>857</v>
      </c>
      <c r="N193" s="84"/>
      <c r="P193" s="84" t="s">
        <v>525</v>
      </c>
      <c r="Q193" s="84">
        <v>1601</v>
      </c>
      <c r="R193" s="84">
        <v>1303</v>
      </c>
      <c r="S193" s="84">
        <v>1734</v>
      </c>
      <c r="T193" s="84">
        <v>729</v>
      </c>
      <c r="U193" s="84"/>
      <c r="W193" s="84" t="s">
        <v>525</v>
      </c>
      <c r="X193" s="84">
        <v>375</v>
      </c>
      <c r="Y193" s="84">
        <v>1831</v>
      </c>
      <c r="Z193" s="84">
        <v>1686</v>
      </c>
      <c r="AA193" s="84">
        <v>1201</v>
      </c>
      <c r="AB193" s="84"/>
    </row>
    <row r="194" spans="2:28" x14ac:dyDescent="0.3">
      <c r="B194" s="84" t="s">
        <v>526</v>
      </c>
      <c r="C194" s="84">
        <v>12</v>
      </c>
      <c r="D194" s="84">
        <v>0</v>
      </c>
      <c r="E194" s="84">
        <v>18</v>
      </c>
      <c r="F194" s="84">
        <v>12</v>
      </c>
      <c r="G194" s="84"/>
      <c r="I194" s="84" t="s">
        <v>526</v>
      </c>
      <c r="J194" s="84">
        <v>0</v>
      </c>
      <c r="K194" s="84">
        <v>7</v>
      </c>
      <c r="L194" s="84">
        <v>12</v>
      </c>
      <c r="M194" s="84">
        <v>23</v>
      </c>
      <c r="N194" s="84"/>
      <c r="P194" s="84" t="s">
        <v>526</v>
      </c>
      <c r="Q194" s="84">
        <v>12</v>
      </c>
      <c r="R194" s="84">
        <v>16</v>
      </c>
      <c r="S194" s="84">
        <v>30</v>
      </c>
      <c r="T194" s="84">
        <v>55</v>
      </c>
      <c r="U194" s="84"/>
      <c r="W194" s="84" t="s">
        <v>526</v>
      </c>
      <c r="X194" s="84">
        <v>274</v>
      </c>
      <c r="Y194" s="84">
        <v>94</v>
      </c>
      <c r="Z194" s="84">
        <v>64</v>
      </c>
      <c r="AA194" s="84">
        <v>204</v>
      </c>
      <c r="AB194" s="84"/>
    </row>
    <row r="195" spans="2:28" x14ac:dyDescent="0.3">
      <c r="B195" s="84" t="s">
        <v>527</v>
      </c>
      <c r="C195" s="84">
        <v>0</v>
      </c>
      <c r="D195" s="84">
        <v>0</v>
      </c>
      <c r="E195" s="84">
        <v>0</v>
      </c>
      <c r="F195" s="84">
        <v>0</v>
      </c>
      <c r="G195" s="84"/>
      <c r="I195" s="84" t="s">
        <v>527</v>
      </c>
      <c r="J195" s="84">
        <v>0</v>
      </c>
      <c r="K195" s="84">
        <v>0</v>
      </c>
      <c r="L195" s="84">
        <v>0</v>
      </c>
      <c r="M195" s="84">
        <v>0</v>
      </c>
      <c r="N195" s="84"/>
      <c r="P195" s="84" t="s">
        <v>527</v>
      </c>
      <c r="Q195" s="84">
        <v>0</v>
      </c>
      <c r="R195" s="84">
        <v>0</v>
      </c>
      <c r="S195" s="84">
        <v>0</v>
      </c>
      <c r="T195" s="84">
        <v>0</v>
      </c>
      <c r="U195" s="84"/>
      <c r="W195" s="84" t="s">
        <v>527</v>
      </c>
      <c r="X195" s="84">
        <v>0</v>
      </c>
      <c r="Y195" s="84">
        <v>0</v>
      </c>
      <c r="Z195" s="84">
        <v>0</v>
      </c>
      <c r="AA195" s="84">
        <v>0</v>
      </c>
      <c r="AB195" s="84"/>
    </row>
    <row r="196" spans="2:28" x14ac:dyDescent="0.3">
      <c r="B196" s="84" t="s">
        <v>528</v>
      </c>
      <c r="C196" s="84">
        <v>0</v>
      </c>
      <c r="D196" s="84">
        <v>0</v>
      </c>
      <c r="E196" s="84">
        <v>0</v>
      </c>
      <c r="F196" s="84">
        <v>0</v>
      </c>
      <c r="G196" s="84"/>
      <c r="I196" s="84" t="s">
        <v>528</v>
      </c>
      <c r="J196" s="84">
        <v>0</v>
      </c>
      <c r="K196" s="84">
        <v>0</v>
      </c>
      <c r="L196" s="84">
        <v>0</v>
      </c>
      <c r="M196" s="84">
        <v>0</v>
      </c>
      <c r="N196" s="84"/>
      <c r="P196" s="84" t="s">
        <v>528</v>
      </c>
      <c r="Q196" s="84">
        <v>0</v>
      </c>
      <c r="R196" s="84">
        <v>0</v>
      </c>
      <c r="S196" s="84">
        <v>0</v>
      </c>
      <c r="T196" s="84">
        <v>0</v>
      </c>
      <c r="U196" s="84"/>
      <c r="W196" s="84" t="s">
        <v>528</v>
      </c>
      <c r="X196" s="84">
        <v>0</v>
      </c>
      <c r="Y196" s="84">
        <v>0</v>
      </c>
      <c r="Z196" s="84">
        <v>0</v>
      </c>
      <c r="AA196" s="84">
        <v>0</v>
      </c>
      <c r="AB196" s="84"/>
    </row>
    <row r="197" spans="2:28" x14ac:dyDescent="0.3">
      <c r="B197" s="84" t="s">
        <v>529</v>
      </c>
      <c r="C197" s="84">
        <v>0</v>
      </c>
      <c r="D197" s="84">
        <v>0</v>
      </c>
      <c r="E197" s="84">
        <v>0</v>
      </c>
      <c r="F197" s="84">
        <v>0</v>
      </c>
      <c r="G197" s="84"/>
      <c r="I197" s="84" t="s">
        <v>529</v>
      </c>
      <c r="J197" s="84">
        <v>0</v>
      </c>
      <c r="K197" s="84">
        <v>0</v>
      </c>
      <c r="L197" s="84">
        <v>0</v>
      </c>
      <c r="M197" s="84">
        <v>0</v>
      </c>
      <c r="N197" s="84"/>
      <c r="P197" s="84" t="s">
        <v>529</v>
      </c>
      <c r="Q197" s="84">
        <v>0</v>
      </c>
      <c r="R197" s="84">
        <v>0</v>
      </c>
      <c r="S197" s="84">
        <v>0</v>
      </c>
      <c r="T197" s="84">
        <v>0</v>
      </c>
      <c r="U197" s="84"/>
      <c r="W197" s="84" t="s">
        <v>529</v>
      </c>
      <c r="X197" s="84">
        <v>0</v>
      </c>
      <c r="Y197" s="84">
        <v>0</v>
      </c>
      <c r="Z197" s="84">
        <v>0</v>
      </c>
      <c r="AA197" s="84">
        <v>0</v>
      </c>
      <c r="AB197" s="84"/>
    </row>
    <row r="198" spans="2:28" x14ac:dyDescent="0.3">
      <c r="B198" s="84" t="s">
        <v>530</v>
      </c>
      <c r="C198" s="84">
        <v>10124</v>
      </c>
      <c r="D198" s="84">
        <v>47</v>
      </c>
      <c r="E198" s="84">
        <v>17800</v>
      </c>
      <c r="F198" s="84">
        <v>5559</v>
      </c>
      <c r="G198" s="84"/>
      <c r="I198" s="84" t="s">
        <v>530</v>
      </c>
      <c r="J198" s="84">
        <v>25332</v>
      </c>
      <c r="K198" s="84">
        <v>20799</v>
      </c>
      <c r="L198" s="84">
        <v>29965</v>
      </c>
      <c r="M198" s="84">
        <v>14880</v>
      </c>
      <c r="N198" s="84"/>
      <c r="P198" s="84" t="s">
        <v>530</v>
      </c>
      <c r="Q198" s="84">
        <v>42613</v>
      </c>
      <c r="R198" s="84">
        <v>48319</v>
      </c>
      <c r="S198" s="84">
        <v>38764</v>
      </c>
      <c r="T198" s="84">
        <v>30784</v>
      </c>
      <c r="U198" s="84"/>
      <c r="W198" s="84" t="s">
        <v>530</v>
      </c>
      <c r="X198" s="84">
        <v>81516</v>
      </c>
      <c r="Y198" s="84">
        <v>66925</v>
      </c>
      <c r="Z198" s="84">
        <v>66750</v>
      </c>
      <c r="AA198" s="84">
        <v>57405</v>
      </c>
      <c r="AB198" s="84"/>
    </row>
    <row r="199" spans="2:28" x14ac:dyDescent="0.3">
      <c r="B199" s="84" t="s">
        <v>531</v>
      </c>
      <c r="C199" s="84">
        <v>12036</v>
      </c>
      <c r="D199" s="84">
        <v>1670</v>
      </c>
      <c r="E199" s="84">
        <v>4161</v>
      </c>
      <c r="F199" s="84">
        <v>4865</v>
      </c>
      <c r="G199" s="84"/>
      <c r="I199" s="84" t="s">
        <v>531</v>
      </c>
      <c r="J199" s="84">
        <v>13828</v>
      </c>
      <c r="K199" s="84">
        <v>6321</v>
      </c>
      <c r="L199" s="84">
        <v>6151</v>
      </c>
      <c r="M199" s="84">
        <v>7218</v>
      </c>
      <c r="N199" s="84"/>
      <c r="P199" s="84" t="s">
        <v>531</v>
      </c>
      <c r="Q199" s="84">
        <v>14301</v>
      </c>
      <c r="R199" s="84">
        <v>6809</v>
      </c>
      <c r="S199" s="84">
        <v>9367</v>
      </c>
      <c r="T199" s="84">
        <v>6146</v>
      </c>
      <c r="U199" s="84"/>
      <c r="W199" s="84" t="s">
        <v>531</v>
      </c>
      <c r="X199" s="84">
        <v>32388</v>
      </c>
      <c r="Y199" s="84">
        <v>19022</v>
      </c>
      <c r="Z199" s="84">
        <v>17122</v>
      </c>
      <c r="AA199" s="84">
        <v>8353</v>
      </c>
      <c r="AB199" s="84"/>
    </row>
    <row r="200" spans="2:28" x14ac:dyDescent="0.3">
      <c r="B200" s="84" t="s">
        <v>532</v>
      </c>
      <c r="C200" s="84">
        <v>10759</v>
      </c>
      <c r="D200" s="84">
        <v>21000</v>
      </c>
      <c r="E200" s="84">
        <v>17000</v>
      </c>
      <c r="F200" s="84">
        <v>3000</v>
      </c>
      <c r="G200" s="84"/>
      <c r="I200" s="84" t="s">
        <v>532</v>
      </c>
      <c r="J200" s="84">
        <v>30350</v>
      </c>
      <c r="K200" s="84">
        <v>55050</v>
      </c>
      <c r="L200" s="84">
        <v>57450</v>
      </c>
      <c r="M200" s="84">
        <v>21000</v>
      </c>
      <c r="N200" s="84"/>
      <c r="P200" s="84" t="s">
        <v>532</v>
      </c>
      <c r="Q200" s="84">
        <v>67050</v>
      </c>
      <c r="R200" s="84">
        <v>57450</v>
      </c>
      <c r="S200" s="84">
        <v>44000</v>
      </c>
      <c r="T200" s="84">
        <v>34000</v>
      </c>
      <c r="U200" s="84"/>
      <c r="W200" s="84" t="s">
        <v>532</v>
      </c>
      <c r="X200" s="84">
        <v>109000</v>
      </c>
      <c r="Y200" s="84">
        <v>72450</v>
      </c>
      <c r="Z200" s="84">
        <v>72000</v>
      </c>
      <c r="AA200" s="84">
        <v>64000</v>
      </c>
      <c r="AB200" s="84"/>
    </row>
    <row r="201" spans="2:28" x14ac:dyDescent="0.3">
      <c r="B201" s="84" t="s">
        <v>533</v>
      </c>
      <c r="C201" s="84">
        <v>0</v>
      </c>
      <c r="D201" s="84">
        <v>0</v>
      </c>
      <c r="E201" s="84">
        <v>0</v>
      </c>
      <c r="F201" s="84">
        <v>0</v>
      </c>
      <c r="G201" s="84"/>
      <c r="I201" s="84" t="s">
        <v>533</v>
      </c>
      <c r="J201" s="84">
        <v>0</v>
      </c>
      <c r="K201" s="84">
        <v>0</v>
      </c>
      <c r="L201" s="84">
        <v>0</v>
      </c>
      <c r="M201" s="84">
        <v>0</v>
      </c>
      <c r="N201" s="84"/>
      <c r="P201" s="84" t="s">
        <v>533</v>
      </c>
      <c r="Q201" s="84">
        <v>0</v>
      </c>
      <c r="R201" s="84">
        <v>0</v>
      </c>
      <c r="S201" s="84">
        <v>0</v>
      </c>
      <c r="T201" s="84">
        <v>0</v>
      </c>
      <c r="U201" s="84"/>
      <c r="W201" s="84" t="s">
        <v>533</v>
      </c>
      <c r="X201" s="84">
        <v>0</v>
      </c>
      <c r="Y201" s="84">
        <v>0</v>
      </c>
      <c r="Z201" s="84">
        <v>0</v>
      </c>
      <c r="AA201" s="84">
        <v>0</v>
      </c>
      <c r="AB201" s="84"/>
    </row>
    <row r="202" spans="2:28" x14ac:dyDescent="0.3">
      <c r="B202" s="84" t="s">
        <v>534</v>
      </c>
      <c r="C202" s="84">
        <v>0</v>
      </c>
      <c r="D202" s="84">
        <v>0</v>
      </c>
      <c r="E202" s="84">
        <v>0</v>
      </c>
      <c r="F202" s="84">
        <v>0</v>
      </c>
      <c r="G202" s="84"/>
      <c r="I202" s="84" t="s">
        <v>534</v>
      </c>
      <c r="J202" s="84">
        <v>0</v>
      </c>
      <c r="K202" s="84">
        <v>0</v>
      </c>
      <c r="L202" s="84">
        <v>0</v>
      </c>
      <c r="M202" s="84">
        <v>0</v>
      </c>
      <c r="N202" s="84"/>
      <c r="P202" s="84" t="s">
        <v>534</v>
      </c>
      <c r="Q202" s="84">
        <v>0</v>
      </c>
      <c r="R202" s="84">
        <v>0</v>
      </c>
      <c r="S202" s="84">
        <v>0</v>
      </c>
      <c r="T202" s="84">
        <v>0</v>
      </c>
      <c r="U202" s="84"/>
      <c r="W202" s="84" t="s">
        <v>534</v>
      </c>
      <c r="X202" s="84">
        <v>0</v>
      </c>
      <c r="Y202" s="84">
        <v>0</v>
      </c>
      <c r="Z202" s="84">
        <v>0</v>
      </c>
      <c r="AA202" s="84">
        <v>0</v>
      </c>
      <c r="AB202" s="84"/>
    </row>
    <row r="203" spans="2:28" x14ac:dyDescent="0.3">
      <c r="B203" s="84" t="s">
        <v>535</v>
      </c>
      <c r="C203" s="84">
        <v>0</v>
      </c>
      <c r="D203" s="84">
        <v>0</v>
      </c>
      <c r="E203" s="84">
        <v>1000</v>
      </c>
      <c r="F203" s="84">
        <v>0</v>
      </c>
      <c r="G203" s="84"/>
      <c r="I203" s="84" t="s">
        <v>535</v>
      </c>
      <c r="J203" s="84">
        <v>0</v>
      </c>
      <c r="K203" s="84">
        <v>0</v>
      </c>
      <c r="L203" s="84">
        <v>0</v>
      </c>
      <c r="M203" s="84">
        <v>0</v>
      </c>
      <c r="N203" s="84"/>
      <c r="P203" s="84" t="s">
        <v>535</v>
      </c>
      <c r="Q203" s="84">
        <v>0</v>
      </c>
      <c r="R203" s="84">
        <v>0</v>
      </c>
      <c r="S203" s="84">
        <v>0</v>
      </c>
      <c r="T203" s="84">
        <v>0</v>
      </c>
      <c r="U203" s="84"/>
      <c r="W203" s="84" t="s">
        <v>535</v>
      </c>
      <c r="X203" s="84">
        <v>0</v>
      </c>
      <c r="Y203" s="84">
        <v>0</v>
      </c>
      <c r="Z203" s="84">
        <v>0</v>
      </c>
      <c r="AA203" s="84">
        <v>0</v>
      </c>
      <c r="AB203" s="84"/>
    </row>
    <row r="204" spans="2:28" x14ac:dyDescent="0.3">
      <c r="B204" s="84" t="s">
        <v>536</v>
      </c>
      <c r="C204" s="84">
        <v>0</v>
      </c>
      <c r="D204" s="84">
        <v>0</v>
      </c>
      <c r="E204" s="84">
        <v>0</v>
      </c>
      <c r="F204" s="84">
        <v>0</v>
      </c>
      <c r="G204" s="84"/>
      <c r="I204" s="84" t="s">
        <v>536</v>
      </c>
      <c r="J204" s="84">
        <v>0</v>
      </c>
      <c r="K204" s="84">
        <v>0</v>
      </c>
      <c r="L204" s="84">
        <v>0</v>
      </c>
      <c r="M204" s="84">
        <v>0</v>
      </c>
      <c r="N204" s="84"/>
      <c r="P204" s="84" t="s">
        <v>536</v>
      </c>
      <c r="Q204" s="84">
        <v>0</v>
      </c>
      <c r="R204" s="84">
        <v>0</v>
      </c>
      <c r="S204" s="84">
        <v>0</v>
      </c>
      <c r="T204" s="84">
        <v>0</v>
      </c>
      <c r="U204" s="84"/>
      <c r="W204" s="84" t="s">
        <v>536</v>
      </c>
      <c r="X204" s="84">
        <v>0</v>
      </c>
      <c r="Y204" s="84">
        <v>0</v>
      </c>
      <c r="Z204" s="84">
        <v>0</v>
      </c>
      <c r="AA204" s="84">
        <v>0</v>
      </c>
      <c r="AB204" s="84"/>
    </row>
    <row r="205" spans="2:28" x14ac:dyDescent="0.3">
      <c r="B205" s="84" t="s">
        <v>537</v>
      </c>
      <c r="C205" s="84">
        <v>22795</v>
      </c>
      <c r="D205" s="84">
        <v>22670</v>
      </c>
      <c r="E205" s="84">
        <v>22161</v>
      </c>
      <c r="F205" s="84">
        <v>7865</v>
      </c>
      <c r="G205" s="84"/>
      <c r="I205" s="84" t="s">
        <v>537</v>
      </c>
      <c r="J205" s="84">
        <v>44178</v>
      </c>
      <c r="K205" s="84">
        <v>61371</v>
      </c>
      <c r="L205" s="84">
        <v>63601</v>
      </c>
      <c r="M205" s="84">
        <v>28218</v>
      </c>
      <c r="N205" s="84"/>
      <c r="P205" s="84" t="s">
        <v>537</v>
      </c>
      <c r="Q205" s="84">
        <v>81351</v>
      </c>
      <c r="R205" s="84">
        <v>64259</v>
      </c>
      <c r="S205" s="84">
        <v>53367</v>
      </c>
      <c r="T205" s="84">
        <v>40146</v>
      </c>
      <c r="U205" s="84"/>
      <c r="W205" s="84" t="s">
        <v>537</v>
      </c>
      <c r="X205" s="84">
        <v>141388</v>
      </c>
      <c r="Y205" s="84">
        <v>91472</v>
      </c>
      <c r="Z205" s="84">
        <v>89122</v>
      </c>
      <c r="AA205" s="84">
        <v>72353</v>
      </c>
      <c r="AB205" s="84"/>
    </row>
    <row r="206" spans="2:28" x14ac:dyDescent="0.3">
      <c r="B206" s="84" t="s">
        <v>538</v>
      </c>
      <c r="C206" s="84">
        <v>-12671</v>
      </c>
      <c r="D206" s="84">
        <v>-22623</v>
      </c>
      <c r="E206" s="84">
        <v>-4362</v>
      </c>
      <c r="F206" s="84">
        <v>-2306</v>
      </c>
      <c r="G206" s="84"/>
      <c r="I206" s="84" t="s">
        <v>538</v>
      </c>
      <c r="J206" s="84">
        <v>-18845</v>
      </c>
      <c r="K206" s="84">
        <v>-40573</v>
      </c>
      <c r="L206" s="84">
        <v>-33636</v>
      </c>
      <c r="M206" s="84">
        <v>-13338</v>
      </c>
      <c r="N206" s="84"/>
      <c r="P206" s="84" t="s">
        <v>538</v>
      </c>
      <c r="Q206" s="84">
        <v>-38738</v>
      </c>
      <c r="R206" s="84">
        <v>-15940</v>
      </c>
      <c r="S206" s="84">
        <v>-14603</v>
      </c>
      <c r="T206" s="84">
        <v>-9362</v>
      </c>
      <c r="U206" s="84"/>
      <c r="W206" s="84" t="s">
        <v>538</v>
      </c>
      <c r="X206" s="84">
        <v>-59872</v>
      </c>
      <c r="Y206" s="84">
        <v>-24546</v>
      </c>
      <c r="Z206" s="84">
        <v>-22372</v>
      </c>
      <c r="AA206" s="84">
        <v>-14948</v>
      </c>
      <c r="AB206" s="84"/>
    </row>
    <row r="207" spans="2:28" x14ac:dyDescent="0.3">
      <c r="B207" s="84" t="s">
        <v>539</v>
      </c>
      <c r="C207" s="84">
        <v>8391</v>
      </c>
      <c r="D207" s="84">
        <v>128</v>
      </c>
      <c r="E207" s="84">
        <v>879</v>
      </c>
      <c r="F207" s="84">
        <v>0</v>
      </c>
      <c r="G207" s="84"/>
      <c r="I207" s="84" t="s">
        <v>539</v>
      </c>
      <c r="J207" s="84">
        <v>13840</v>
      </c>
      <c r="K207" s="84">
        <v>8336</v>
      </c>
      <c r="L207" s="84">
        <v>823</v>
      </c>
      <c r="M207" s="84">
        <v>5075</v>
      </c>
      <c r="N207" s="84"/>
      <c r="P207" s="84" t="s">
        <v>539</v>
      </c>
      <c r="Q207" s="84">
        <v>8388</v>
      </c>
      <c r="R207" s="84">
        <v>2772</v>
      </c>
      <c r="S207" s="84">
        <v>5075</v>
      </c>
      <c r="T207" s="84">
        <v>0</v>
      </c>
      <c r="U207" s="84"/>
      <c r="W207" s="84" t="s">
        <v>539</v>
      </c>
      <c r="X207" s="84">
        <v>8339</v>
      </c>
      <c r="Y207" s="84">
        <v>5633</v>
      </c>
      <c r="Z207" s="84">
        <v>6699</v>
      </c>
      <c r="AA207" s="84">
        <v>1114</v>
      </c>
      <c r="AB207" s="84"/>
    </row>
    <row r="208" spans="2:28" x14ac:dyDescent="0.3">
      <c r="B208" s="84" t="s">
        <v>540</v>
      </c>
      <c r="C208" s="84">
        <v>0</v>
      </c>
      <c r="D208" s="84">
        <v>0</v>
      </c>
      <c r="E208" s="84">
        <v>0</v>
      </c>
      <c r="F208" s="84">
        <v>0</v>
      </c>
      <c r="G208" s="84"/>
      <c r="I208" s="84" t="s">
        <v>540</v>
      </c>
      <c r="J208" s="84">
        <v>0</v>
      </c>
      <c r="K208" s="84">
        <v>0</v>
      </c>
      <c r="L208" s="84">
        <v>0</v>
      </c>
      <c r="M208" s="84">
        <v>0</v>
      </c>
      <c r="N208" s="84"/>
      <c r="P208" s="84" t="s">
        <v>540</v>
      </c>
      <c r="Q208" s="84">
        <v>0</v>
      </c>
      <c r="R208" s="84">
        <v>0</v>
      </c>
      <c r="S208" s="84">
        <v>0</v>
      </c>
      <c r="T208" s="84">
        <v>0</v>
      </c>
      <c r="U208" s="84"/>
      <c r="W208" s="84" t="s">
        <v>540</v>
      </c>
      <c r="X208" s="84">
        <v>0</v>
      </c>
      <c r="Y208" s="84">
        <v>0</v>
      </c>
      <c r="Z208" s="84">
        <v>0</v>
      </c>
      <c r="AA208" s="84">
        <v>0</v>
      </c>
      <c r="AB208" s="84"/>
    </row>
    <row r="209" spans="2:28" x14ac:dyDescent="0.3">
      <c r="B209" s="84" t="s">
        <v>541</v>
      </c>
      <c r="C209" s="84">
        <v>0</v>
      </c>
      <c r="D209" s="84">
        <v>0</v>
      </c>
      <c r="E209" s="84">
        <v>0</v>
      </c>
      <c r="F209" s="84">
        <v>0</v>
      </c>
      <c r="G209" s="84"/>
      <c r="I209" s="84" t="s">
        <v>541</v>
      </c>
      <c r="J209" s="84">
        <v>0</v>
      </c>
      <c r="K209" s="84">
        <v>0</v>
      </c>
      <c r="L209" s="84">
        <v>0</v>
      </c>
      <c r="M209" s="84">
        <v>0</v>
      </c>
      <c r="N209" s="84"/>
      <c r="P209" s="84" t="s">
        <v>541</v>
      </c>
      <c r="Q209" s="84">
        <v>0</v>
      </c>
      <c r="R209" s="84">
        <v>0</v>
      </c>
      <c r="S209" s="84">
        <v>0</v>
      </c>
      <c r="T209" s="84">
        <v>0</v>
      </c>
      <c r="U209" s="84"/>
      <c r="W209" s="84" t="s">
        <v>541</v>
      </c>
      <c r="X209" s="84">
        <v>0</v>
      </c>
      <c r="Y209" s="84">
        <v>0</v>
      </c>
      <c r="Z209" s="84">
        <v>0</v>
      </c>
      <c r="AA209" s="84">
        <v>0</v>
      </c>
      <c r="AB209" s="84"/>
    </row>
    <row r="210" spans="2:28" x14ac:dyDescent="0.3">
      <c r="B210" s="84" t="s">
        <v>542</v>
      </c>
      <c r="C210" s="84">
        <v>0</v>
      </c>
      <c r="D210" s="84">
        <v>0</v>
      </c>
      <c r="E210" s="84">
        <v>0</v>
      </c>
      <c r="F210" s="84">
        <v>0</v>
      </c>
      <c r="G210" s="84"/>
      <c r="I210" s="84" t="s">
        <v>542</v>
      </c>
      <c r="J210" s="84">
        <v>0</v>
      </c>
      <c r="K210" s="84">
        <v>0</v>
      </c>
      <c r="L210" s="84">
        <v>0</v>
      </c>
      <c r="M210" s="84">
        <v>0</v>
      </c>
      <c r="N210" s="84"/>
      <c r="P210" s="84" t="s">
        <v>542</v>
      </c>
      <c r="Q210" s="84">
        <v>0</v>
      </c>
      <c r="R210" s="84">
        <v>0</v>
      </c>
      <c r="S210" s="84">
        <v>0</v>
      </c>
      <c r="T210" s="84">
        <v>0</v>
      </c>
      <c r="U210" s="84"/>
      <c r="W210" s="84" t="s">
        <v>542</v>
      </c>
      <c r="X210" s="84">
        <v>0</v>
      </c>
      <c r="Y210" s="84">
        <v>0</v>
      </c>
      <c r="Z210" s="84">
        <v>0</v>
      </c>
      <c r="AA210" s="84">
        <v>0</v>
      </c>
      <c r="AB210" s="84"/>
    </row>
    <row r="211" spans="2:28" x14ac:dyDescent="0.3">
      <c r="B211" s="84" t="s">
        <v>543</v>
      </c>
      <c r="C211" s="84">
        <v>0</v>
      </c>
      <c r="D211" s="84">
        <v>0</v>
      </c>
      <c r="E211" s="84">
        <v>300</v>
      </c>
      <c r="F211" s="84">
        <v>0</v>
      </c>
      <c r="G211" s="84"/>
      <c r="I211" s="84" t="s">
        <v>543</v>
      </c>
      <c r="J211" s="84">
        <v>105</v>
      </c>
      <c r="K211" s="84">
        <v>0</v>
      </c>
      <c r="L211" s="84">
        <v>300</v>
      </c>
      <c r="M211" s="84">
        <v>0</v>
      </c>
      <c r="N211" s="84"/>
      <c r="P211" s="84" t="s">
        <v>543</v>
      </c>
      <c r="Q211" s="84">
        <v>0</v>
      </c>
      <c r="R211" s="84">
        <v>400</v>
      </c>
      <c r="S211" s="84">
        <v>0</v>
      </c>
      <c r="T211" s="84">
        <v>0</v>
      </c>
      <c r="U211" s="84"/>
      <c r="W211" s="84" t="s">
        <v>543</v>
      </c>
      <c r="X211" s="84">
        <v>0</v>
      </c>
      <c r="Y211" s="84">
        <v>1122</v>
      </c>
      <c r="Z211" s="84">
        <v>445</v>
      </c>
      <c r="AA211" s="84">
        <v>0</v>
      </c>
      <c r="AB211" s="84"/>
    </row>
    <row r="212" spans="2:28" x14ac:dyDescent="0.3">
      <c r="B212" s="84" t="s">
        <v>544</v>
      </c>
      <c r="C212" s="84">
        <v>8391</v>
      </c>
      <c r="D212" s="84">
        <v>128</v>
      </c>
      <c r="E212" s="84">
        <v>1179</v>
      </c>
      <c r="F212" s="84">
        <v>0</v>
      </c>
      <c r="G212" s="84"/>
      <c r="I212" s="84" t="s">
        <v>544</v>
      </c>
      <c r="J212" s="84">
        <v>13945</v>
      </c>
      <c r="K212" s="84">
        <v>8336</v>
      </c>
      <c r="L212" s="84">
        <v>1123</v>
      </c>
      <c r="M212" s="84">
        <v>5075</v>
      </c>
      <c r="N212" s="84"/>
      <c r="P212" s="84" t="s">
        <v>544</v>
      </c>
      <c r="Q212" s="84">
        <v>8388</v>
      </c>
      <c r="R212" s="84">
        <v>3172</v>
      </c>
      <c r="S212" s="84">
        <v>5075</v>
      </c>
      <c r="T212" s="84">
        <v>0</v>
      </c>
      <c r="U212" s="84"/>
      <c r="W212" s="84" t="s">
        <v>544</v>
      </c>
      <c r="X212" s="84">
        <v>8339</v>
      </c>
      <c r="Y212" s="84">
        <v>6755</v>
      </c>
      <c r="Z212" s="84">
        <v>7144</v>
      </c>
      <c r="AA212" s="84">
        <v>1114</v>
      </c>
      <c r="AB212" s="84"/>
    </row>
    <row r="213" spans="2:28" x14ac:dyDescent="0.3">
      <c r="B213" s="84" t="s">
        <v>545</v>
      </c>
      <c r="C213" s="84">
        <v>0</v>
      </c>
      <c r="D213" s="84">
        <v>0</v>
      </c>
      <c r="E213" s="84">
        <v>0</v>
      </c>
      <c r="F213" s="84">
        <v>0</v>
      </c>
      <c r="G213" s="84"/>
      <c r="I213" s="84" t="s">
        <v>545</v>
      </c>
      <c r="J213" s="84">
        <v>0</v>
      </c>
      <c r="K213" s="84">
        <v>0</v>
      </c>
      <c r="L213" s="84">
        <v>0</v>
      </c>
      <c r="M213" s="84">
        <v>0</v>
      </c>
      <c r="N213" s="84"/>
      <c r="P213" s="84" t="s">
        <v>545</v>
      </c>
      <c r="Q213" s="84">
        <v>0</v>
      </c>
      <c r="R213" s="84">
        <v>0</v>
      </c>
      <c r="S213" s="84">
        <v>0</v>
      </c>
      <c r="T213" s="84">
        <v>0</v>
      </c>
      <c r="U213" s="84"/>
      <c r="W213" s="84" t="s">
        <v>545</v>
      </c>
      <c r="X213" s="84">
        <v>0</v>
      </c>
      <c r="Y213" s="84">
        <v>0</v>
      </c>
      <c r="Z213" s="84">
        <v>0</v>
      </c>
      <c r="AA213" s="84">
        <v>0</v>
      </c>
      <c r="AB213" s="84"/>
    </row>
    <row r="214" spans="2:28" x14ac:dyDescent="0.3">
      <c r="B214" s="84" t="s">
        <v>546</v>
      </c>
      <c r="C214" s="84">
        <v>1168</v>
      </c>
      <c r="D214" s="84">
        <v>663</v>
      </c>
      <c r="E214" s="84">
        <v>517</v>
      </c>
      <c r="F214" s="84">
        <v>187</v>
      </c>
      <c r="G214" s="84"/>
      <c r="I214" s="84" t="s">
        <v>546</v>
      </c>
      <c r="J214" s="84">
        <v>6133</v>
      </c>
      <c r="K214" s="84">
        <v>5964</v>
      </c>
      <c r="L214" s="84">
        <v>2303</v>
      </c>
      <c r="M214" s="84">
        <v>2833</v>
      </c>
      <c r="N214" s="84"/>
      <c r="P214" s="84" t="s">
        <v>546</v>
      </c>
      <c r="Q214" s="84">
        <v>7331</v>
      </c>
      <c r="R214" s="84">
        <v>2368</v>
      </c>
      <c r="S214" s="84">
        <v>2950</v>
      </c>
      <c r="T214" s="84">
        <v>4472</v>
      </c>
      <c r="U214" s="84"/>
      <c r="W214" s="84" t="s">
        <v>546</v>
      </c>
      <c r="X214" s="84">
        <v>9711</v>
      </c>
      <c r="Y214" s="84">
        <v>2696</v>
      </c>
      <c r="Z214" s="84">
        <v>3387</v>
      </c>
      <c r="AA214" s="84">
        <v>5246</v>
      </c>
      <c r="AB214" s="84"/>
    </row>
    <row r="215" spans="2:28" x14ac:dyDescent="0.3">
      <c r="B215" s="84" t="s">
        <v>547</v>
      </c>
      <c r="C215" s="84">
        <v>0</v>
      </c>
      <c r="D215" s="84">
        <v>0</v>
      </c>
      <c r="E215" s="84">
        <v>0</v>
      </c>
      <c r="F215" s="84">
        <v>0</v>
      </c>
      <c r="G215" s="84"/>
      <c r="I215" s="84" t="s">
        <v>547</v>
      </c>
      <c r="J215" s="84">
        <v>0</v>
      </c>
      <c r="K215" s="84">
        <v>0</v>
      </c>
      <c r="L215" s="84">
        <v>0</v>
      </c>
      <c r="M215" s="84">
        <v>0</v>
      </c>
      <c r="N215" s="84"/>
      <c r="P215" s="84" t="s">
        <v>547</v>
      </c>
      <c r="Q215" s="84">
        <v>0</v>
      </c>
      <c r="R215" s="84">
        <v>0</v>
      </c>
      <c r="S215" s="84">
        <v>0</v>
      </c>
      <c r="T215" s="84">
        <v>0</v>
      </c>
      <c r="U215" s="84"/>
      <c r="W215" s="84" t="s">
        <v>547</v>
      </c>
      <c r="X215" s="84">
        <v>0</v>
      </c>
      <c r="Y215" s="84">
        <v>0</v>
      </c>
      <c r="Z215" s="84">
        <v>0</v>
      </c>
      <c r="AA215" s="84">
        <v>0</v>
      </c>
      <c r="AB215" s="84"/>
    </row>
    <row r="216" spans="2:28" x14ac:dyDescent="0.3">
      <c r="B216" s="84" t="s">
        <v>548</v>
      </c>
      <c r="C216" s="84">
        <v>0</v>
      </c>
      <c r="D216" s="84">
        <v>0</v>
      </c>
      <c r="E216" s="84">
        <v>0</v>
      </c>
      <c r="F216" s="84">
        <v>0</v>
      </c>
      <c r="G216" s="84"/>
      <c r="I216" s="84" t="s">
        <v>548</v>
      </c>
      <c r="J216" s="84">
        <v>0</v>
      </c>
      <c r="K216" s="84">
        <v>0</v>
      </c>
      <c r="L216" s="84">
        <v>0</v>
      </c>
      <c r="M216" s="84">
        <v>0</v>
      </c>
      <c r="N216" s="84"/>
      <c r="P216" s="84" t="s">
        <v>548</v>
      </c>
      <c r="Q216" s="84">
        <v>0</v>
      </c>
      <c r="R216" s="84">
        <v>0</v>
      </c>
      <c r="S216" s="84">
        <v>0</v>
      </c>
      <c r="T216" s="84">
        <v>0</v>
      </c>
      <c r="U216" s="84"/>
      <c r="W216" s="84" t="s">
        <v>548</v>
      </c>
      <c r="X216" s="84">
        <v>464</v>
      </c>
      <c r="Y216" s="84">
        <v>30102</v>
      </c>
      <c r="Z216" s="84">
        <v>0</v>
      </c>
      <c r="AA216" s="84">
        <v>0</v>
      </c>
      <c r="AB216" s="84"/>
    </row>
    <row r="217" spans="2:28" x14ac:dyDescent="0.3">
      <c r="B217" s="84" t="s">
        <v>549</v>
      </c>
      <c r="C217" s="84">
        <v>1168</v>
      </c>
      <c r="D217" s="84">
        <v>663</v>
      </c>
      <c r="E217" s="84">
        <v>517</v>
      </c>
      <c r="F217" s="84">
        <v>187</v>
      </c>
      <c r="G217" s="84"/>
      <c r="I217" s="84" t="s">
        <v>549</v>
      </c>
      <c r="J217" s="84">
        <v>6133</v>
      </c>
      <c r="K217" s="84">
        <v>5964</v>
      </c>
      <c r="L217" s="84">
        <v>2303</v>
      </c>
      <c r="M217" s="84">
        <v>2833</v>
      </c>
      <c r="N217" s="84"/>
      <c r="P217" s="84" t="s">
        <v>549</v>
      </c>
      <c r="Q217" s="84">
        <v>7331</v>
      </c>
      <c r="R217" s="84">
        <v>2368</v>
      </c>
      <c r="S217" s="84">
        <v>2950</v>
      </c>
      <c r="T217" s="84">
        <v>4472</v>
      </c>
      <c r="U217" s="84"/>
      <c r="W217" s="84" t="s">
        <v>549</v>
      </c>
      <c r="X217" s="84">
        <v>10175</v>
      </c>
      <c r="Y217" s="84">
        <v>32797</v>
      </c>
      <c r="Z217" s="84">
        <v>3387</v>
      </c>
      <c r="AA217" s="84">
        <v>5246</v>
      </c>
      <c r="AB217" s="84"/>
    </row>
    <row r="218" spans="2:28" x14ac:dyDescent="0.3">
      <c r="B218" s="84" t="s">
        <v>550</v>
      </c>
      <c r="C218" s="84">
        <v>7223</v>
      </c>
      <c r="D218" s="84">
        <v>-535</v>
      </c>
      <c r="E218" s="84">
        <v>662</v>
      </c>
      <c r="F218" s="84">
        <v>-187</v>
      </c>
      <c r="G218" s="84"/>
      <c r="I218" s="84" t="s">
        <v>550</v>
      </c>
      <c r="J218" s="84">
        <v>7811</v>
      </c>
      <c r="K218" s="84">
        <v>2372</v>
      </c>
      <c r="L218" s="84">
        <v>-1180</v>
      </c>
      <c r="M218" s="84">
        <v>2242</v>
      </c>
      <c r="N218" s="84"/>
      <c r="P218" s="84" t="s">
        <v>550</v>
      </c>
      <c r="Q218" s="84">
        <v>1058</v>
      </c>
      <c r="R218" s="84">
        <v>803</v>
      </c>
      <c r="S218" s="84">
        <v>2126</v>
      </c>
      <c r="T218" s="84">
        <v>-4472</v>
      </c>
      <c r="U218" s="84"/>
      <c r="W218" s="84" t="s">
        <v>550</v>
      </c>
      <c r="X218" s="84">
        <v>-1835</v>
      </c>
      <c r="Y218" s="84">
        <v>-26042</v>
      </c>
      <c r="Z218" s="84">
        <v>3757</v>
      </c>
      <c r="AA218" s="84">
        <v>-4133</v>
      </c>
      <c r="AB218" s="84"/>
    </row>
    <row r="219" spans="2:28" x14ac:dyDescent="0.3">
      <c r="B219" s="84" t="s">
        <v>551</v>
      </c>
      <c r="C219" s="84">
        <v>0</v>
      </c>
      <c r="D219" s="84">
        <v>0</v>
      </c>
      <c r="E219" s="84">
        <v>0</v>
      </c>
      <c r="F219" s="84">
        <v>0</v>
      </c>
      <c r="G219" s="84"/>
      <c r="I219" s="84" t="s">
        <v>551</v>
      </c>
      <c r="J219" s="84">
        <v>0</v>
      </c>
      <c r="K219" s="84">
        <v>0</v>
      </c>
      <c r="L219" s="84">
        <v>0</v>
      </c>
      <c r="M219" s="84">
        <v>0</v>
      </c>
      <c r="N219" s="84"/>
      <c r="P219" s="84" t="s">
        <v>551</v>
      </c>
      <c r="Q219" s="84">
        <v>0</v>
      </c>
      <c r="R219" s="84">
        <v>0</v>
      </c>
      <c r="S219" s="84">
        <v>0</v>
      </c>
      <c r="T219" s="84">
        <v>0</v>
      </c>
      <c r="U219" s="84"/>
      <c r="W219" s="84" t="s">
        <v>551</v>
      </c>
      <c r="X219" s="84">
        <v>0</v>
      </c>
      <c r="Y219" s="84">
        <v>0</v>
      </c>
      <c r="Z219" s="84">
        <v>0</v>
      </c>
      <c r="AA219" s="84">
        <v>0</v>
      </c>
      <c r="AB219" s="84"/>
    </row>
    <row r="220" spans="2:28" x14ac:dyDescent="0.3">
      <c r="B220" s="84" t="s">
        <v>552</v>
      </c>
      <c r="C220" s="84">
        <v>-10149</v>
      </c>
      <c r="D220" s="84">
        <v>-18885</v>
      </c>
      <c r="E220" s="84">
        <v>-4550</v>
      </c>
      <c r="F220" s="84">
        <v>5805</v>
      </c>
      <c r="G220" s="84"/>
      <c r="I220" s="84" t="s">
        <v>552</v>
      </c>
      <c r="J220" s="84">
        <v>-28131</v>
      </c>
      <c r="K220" s="84">
        <v>-30428</v>
      </c>
      <c r="L220" s="84">
        <v>-39422</v>
      </c>
      <c r="M220" s="84">
        <v>-4267</v>
      </c>
      <c r="N220" s="84"/>
      <c r="P220" s="84" t="s">
        <v>552</v>
      </c>
      <c r="Q220" s="84">
        <v>-33834</v>
      </c>
      <c r="R220" s="84">
        <v>-16180</v>
      </c>
      <c r="S220" s="84">
        <v>4497</v>
      </c>
      <c r="T220" s="84">
        <v>-17282</v>
      </c>
      <c r="U220" s="84"/>
      <c r="W220" s="84" t="s">
        <v>552</v>
      </c>
      <c r="X220" s="84">
        <v>-19727</v>
      </c>
      <c r="Y220" s="84">
        <v>-21493</v>
      </c>
      <c r="Z220" s="84">
        <v>24961</v>
      </c>
      <c r="AA220" s="84">
        <v>2700</v>
      </c>
      <c r="AB220" s="84"/>
    </row>
    <row r="221" spans="2:28" x14ac:dyDescent="0.3">
      <c r="B221" s="84" t="s">
        <v>553</v>
      </c>
      <c r="C221" s="84">
        <v>52678</v>
      </c>
      <c r="D221" s="84">
        <v>72405</v>
      </c>
      <c r="E221" s="84">
        <v>93898</v>
      </c>
      <c r="F221" s="84">
        <v>68937</v>
      </c>
      <c r="G221" s="84"/>
      <c r="I221" s="84" t="s">
        <v>553</v>
      </c>
      <c r="J221" s="84">
        <v>52678</v>
      </c>
      <c r="K221" s="84">
        <v>72405</v>
      </c>
      <c r="L221" s="84">
        <v>93898</v>
      </c>
      <c r="M221" s="84">
        <v>68937</v>
      </c>
      <c r="N221" s="84"/>
      <c r="P221" s="84" t="s">
        <v>553</v>
      </c>
      <c r="Q221" s="84">
        <v>72405</v>
      </c>
      <c r="R221" s="84">
        <v>93898</v>
      </c>
      <c r="S221" s="84">
        <v>68937</v>
      </c>
      <c r="T221" s="84">
        <v>66237</v>
      </c>
      <c r="U221" s="84"/>
      <c r="W221" s="84" t="s">
        <v>553</v>
      </c>
      <c r="X221" s="84">
        <v>72405</v>
      </c>
      <c r="Y221" s="84">
        <v>93898</v>
      </c>
      <c r="Z221" s="84">
        <v>68937</v>
      </c>
      <c r="AA221" s="84">
        <v>66237</v>
      </c>
      <c r="AB221" s="84"/>
    </row>
    <row r="222" spans="2:28" x14ac:dyDescent="0.3">
      <c r="B222" s="84" t="s">
        <v>554</v>
      </c>
      <c r="C222" s="84">
        <v>42530</v>
      </c>
      <c r="D222" s="84">
        <v>53520</v>
      </c>
      <c r="E222" s="84">
        <v>89348</v>
      </c>
      <c r="F222" s="84">
        <v>74741</v>
      </c>
      <c r="G222" s="84"/>
      <c r="I222" s="84" t="s">
        <v>554</v>
      </c>
      <c r="J222" s="84">
        <v>24548</v>
      </c>
      <c r="K222" s="84">
        <v>41977</v>
      </c>
      <c r="L222" s="84">
        <v>54476</v>
      </c>
      <c r="M222" s="84">
        <v>64670</v>
      </c>
      <c r="N222" s="84"/>
      <c r="P222" s="84" t="s">
        <v>554</v>
      </c>
      <c r="Q222" s="84">
        <v>38571</v>
      </c>
      <c r="R222" s="84">
        <v>77718</v>
      </c>
      <c r="S222" s="84">
        <v>73434</v>
      </c>
      <c r="T222" s="84">
        <v>48955</v>
      </c>
      <c r="U222" s="84"/>
      <c r="W222" s="84" t="s">
        <v>554</v>
      </c>
      <c r="X222" s="84">
        <v>52678</v>
      </c>
      <c r="Y222" s="84">
        <v>72405</v>
      </c>
      <c r="Z222" s="84">
        <v>93898</v>
      </c>
      <c r="AA222" s="84">
        <v>68937</v>
      </c>
      <c r="AB222" s="84"/>
    </row>
    <row r="223" spans="2:28" x14ac:dyDescent="0.3">
      <c r="B223" s="84" t="s">
        <v>494</v>
      </c>
      <c r="C223" s="84">
        <v>0</v>
      </c>
      <c r="D223" s="84">
        <v>0</v>
      </c>
      <c r="E223" s="84">
        <v>0</v>
      </c>
      <c r="F223" s="84">
        <v>0</v>
      </c>
      <c r="G223" s="84"/>
      <c r="I223" s="84" t="s">
        <v>494</v>
      </c>
      <c r="J223" s="84">
        <v>15859</v>
      </c>
      <c r="K223" s="84">
        <v>16936</v>
      </c>
      <c r="L223" s="84">
        <v>18291</v>
      </c>
      <c r="M223" s="84">
        <v>15756</v>
      </c>
      <c r="N223" s="84"/>
      <c r="P223" s="84" t="s">
        <v>494</v>
      </c>
      <c r="Q223" s="84">
        <v>0</v>
      </c>
      <c r="R223" s="84">
        <v>0</v>
      </c>
      <c r="S223" s="84">
        <v>0</v>
      </c>
      <c r="T223" s="84">
        <v>0</v>
      </c>
      <c r="U223" s="84"/>
      <c r="W223" s="84" t="s">
        <v>494</v>
      </c>
      <c r="X223" s="84">
        <v>43902</v>
      </c>
      <c r="Y223" s="84">
        <v>40123</v>
      </c>
      <c r="Z223" s="84">
        <v>37655</v>
      </c>
      <c r="AA223" s="84">
        <v>31495</v>
      </c>
      <c r="AB223" s="84"/>
    </row>
    <row r="224" spans="2:28" x14ac:dyDescent="0.3">
      <c r="B224" s="84" t="s">
        <v>497</v>
      </c>
      <c r="C224" s="84">
        <v>0</v>
      </c>
      <c r="D224" s="84">
        <v>0</v>
      </c>
      <c r="E224" s="84">
        <v>0</v>
      </c>
      <c r="F224" s="84">
        <v>0</v>
      </c>
      <c r="G224" s="84"/>
      <c r="I224" s="84" t="s">
        <v>497</v>
      </c>
      <c r="J224" s="84">
        <v>0</v>
      </c>
      <c r="K224" s="84">
        <v>0</v>
      </c>
      <c r="L224" s="84">
        <v>0</v>
      </c>
      <c r="M224" s="84">
        <v>0</v>
      </c>
      <c r="N224" s="84"/>
      <c r="P224" s="84" t="s">
        <v>497</v>
      </c>
      <c r="Q224" s="84">
        <v>0</v>
      </c>
      <c r="R224" s="84">
        <v>0</v>
      </c>
      <c r="S224" s="84">
        <v>0</v>
      </c>
      <c r="T224" s="84">
        <v>0</v>
      </c>
      <c r="U224" s="84"/>
      <c r="W224" s="84" t="s">
        <v>497</v>
      </c>
      <c r="X224" s="84">
        <v>0</v>
      </c>
      <c r="Y224" s="84">
        <v>0</v>
      </c>
      <c r="Z224" s="84">
        <v>0</v>
      </c>
      <c r="AA224" s="84">
        <v>0</v>
      </c>
      <c r="AB224" s="84"/>
    </row>
    <row r="225" spans="2:28" x14ac:dyDescent="0.3">
      <c r="B225" s="84" t="s">
        <v>555</v>
      </c>
      <c r="C225" s="84">
        <v>0</v>
      </c>
      <c r="D225" s="84">
        <v>0</v>
      </c>
      <c r="E225" s="84">
        <v>0</v>
      </c>
      <c r="F225" s="84">
        <v>0</v>
      </c>
      <c r="G225" s="84"/>
      <c r="I225" s="84" t="s">
        <v>555</v>
      </c>
      <c r="J225" s="84">
        <v>0</v>
      </c>
      <c r="K225" s="84">
        <v>0</v>
      </c>
      <c r="L225" s="84">
        <v>0</v>
      </c>
      <c r="M225" s="84">
        <v>0</v>
      </c>
      <c r="N225" s="84"/>
      <c r="P225" s="84" t="s">
        <v>555</v>
      </c>
      <c r="Q225" s="84">
        <v>0</v>
      </c>
      <c r="R225" s="84">
        <v>0</v>
      </c>
      <c r="S225" s="84">
        <v>0</v>
      </c>
      <c r="T225" s="84">
        <v>0</v>
      </c>
      <c r="U225" s="84"/>
      <c r="W225" s="84" t="s">
        <v>555</v>
      </c>
      <c r="X225" s="84">
        <v>0</v>
      </c>
      <c r="Y225" s="84">
        <v>0</v>
      </c>
      <c r="Z225" s="84">
        <v>0</v>
      </c>
      <c r="AA225" s="84">
        <v>0</v>
      </c>
      <c r="AB225" s="84"/>
    </row>
    <row r="226" spans="2:28" x14ac:dyDescent="0.3">
      <c r="B226" s="84" t="s">
        <v>556</v>
      </c>
      <c r="C226" s="84">
        <v>0</v>
      </c>
      <c r="D226" s="84">
        <v>0</v>
      </c>
      <c r="E226" s="84">
        <v>0</v>
      </c>
      <c r="F226" s="84">
        <v>0</v>
      </c>
      <c r="G226" s="84"/>
      <c r="I226" s="84" t="s">
        <v>556</v>
      </c>
      <c r="J226" s="84">
        <v>-553</v>
      </c>
      <c r="K226" s="84">
        <v>-244</v>
      </c>
      <c r="L226" s="84">
        <v>140</v>
      </c>
      <c r="M226" s="84">
        <v>-25</v>
      </c>
      <c r="N226" s="84"/>
      <c r="P226" s="84" t="s">
        <v>556</v>
      </c>
      <c r="Q226" s="84">
        <v>0</v>
      </c>
      <c r="R226" s="84">
        <v>0</v>
      </c>
      <c r="S226" s="84">
        <v>0</v>
      </c>
      <c r="T226" s="84">
        <v>0</v>
      </c>
      <c r="U226" s="84"/>
      <c r="W226" s="84" t="s">
        <v>556</v>
      </c>
      <c r="X226" s="84">
        <v>1193</v>
      </c>
      <c r="Y226" s="84">
        <v>1381</v>
      </c>
      <c r="Z226" s="84">
        <v>589</v>
      </c>
      <c r="AA226" s="84">
        <v>624</v>
      </c>
      <c r="AB226" s="84"/>
    </row>
    <row r="227" spans="2:28" x14ac:dyDescent="0.3">
      <c r="B227" s="84" t="s">
        <v>557</v>
      </c>
      <c r="C227" s="84">
        <v>0</v>
      </c>
      <c r="D227" s="84">
        <v>0</v>
      </c>
      <c r="E227" s="84">
        <v>0</v>
      </c>
      <c r="F227" s="84">
        <v>0</v>
      </c>
      <c r="G227" s="84"/>
      <c r="I227" s="84" t="s">
        <v>557</v>
      </c>
      <c r="J227" s="84">
        <v>1914</v>
      </c>
      <c r="K227" s="84">
        <v>2186</v>
      </c>
      <c r="L227" s="84">
        <v>1794</v>
      </c>
      <c r="M227" s="84">
        <v>1865</v>
      </c>
      <c r="N227" s="84"/>
      <c r="P227" s="84" t="s">
        <v>557</v>
      </c>
      <c r="Q227" s="84">
        <v>0</v>
      </c>
      <c r="R227" s="84">
        <v>0</v>
      </c>
      <c r="S227" s="84">
        <v>0</v>
      </c>
      <c r="T227" s="84">
        <v>0</v>
      </c>
      <c r="U227" s="84"/>
      <c r="W227" s="84" t="s">
        <v>557</v>
      </c>
      <c r="X227" s="84">
        <v>4296</v>
      </c>
      <c r="Y227" s="84">
        <v>3949</v>
      </c>
      <c r="Z227" s="84">
        <v>3691</v>
      </c>
      <c r="AA227" s="84">
        <v>3452</v>
      </c>
      <c r="AB227" s="84"/>
    </row>
    <row r="228" spans="2:28" x14ac:dyDescent="0.3">
      <c r="B228" s="84" t="s">
        <v>558</v>
      </c>
      <c r="C228" s="84">
        <v>0</v>
      </c>
      <c r="D228" s="84">
        <v>0</v>
      </c>
      <c r="E228" s="84">
        <v>0</v>
      </c>
      <c r="F228" s="84">
        <v>0</v>
      </c>
      <c r="G228" s="84"/>
      <c r="I228" s="84" t="s">
        <v>558</v>
      </c>
      <c r="J228" s="84">
        <v>211</v>
      </c>
      <c r="K228" s="84">
        <v>85</v>
      </c>
      <c r="L228" s="84">
        <v>180</v>
      </c>
      <c r="M228" s="84">
        <v>180</v>
      </c>
      <c r="N228" s="84"/>
      <c r="P228" s="84" t="s">
        <v>558</v>
      </c>
      <c r="Q228" s="84">
        <v>0</v>
      </c>
      <c r="R228" s="84">
        <v>0</v>
      </c>
      <c r="S228" s="84">
        <v>0</v>
      </c>
      <c r="T228" s="84">
        <v>0</v>
      </c>
      <c r="U228" s="84"/>
      <c r="W228" s="84" t="s">
        <v>558</v>
      </c>
      <c r="X228" s="84">
        <v>226</v>
      </c>
      <c r="Y228" s="84">
        <v>264</v>
      </c>
      <c r="Z228" s="84">
        <v>359</v>
      </c>
      <c r="AA228" s="84">
        <v>276</v>
      </c>
      <c r="AB228" s="84"/>
    </row>
    <row r="229" spans="2:28" x14ac:dyDescent="0.3">
      <c r="B229" s="84" t="s">
        <v>559</v>
      </c>
      <c r="C229" s="84">
        <v>0</v>
      </c>
      <c r="D229" s="84">
        <v>0</v>
      </c>
      <c r="E229" s="84">
        <v>0</v>
      </c>
      <c r="F229" s="84">
        <v>0</v>
      </c>
      <c r="G229" s="84"/>
      <c r="I229" s="84" t="s">
        <v>559</v>
      </c>
      <c r="J229" s="84">
        <v>256</v>
      </c>
      <c r="K229" s="84">
        <v>178</v>
      </c>
      <c r="L229" s="84">
        <v>163</v>
      </c>
      <c r="M229" s="84">
        <v>80</v>
      </c>
      <c r="N229" s="84"/>
      <c r="P229" s="84" t="s">
        <v>559</v>
      </c>
      <c r="Q229" s="84">
        <v>0</v>
      </c>
      <c r="R229" s="84">
        <v>0</v>
      </c>
      <c r="S229" s="84">
        <v>0</v>
      </c>
      <c r="T229" s="84">
        <v>0</v>
      </c>
      <c r="U229" s="84"/>
      <c r="W229" s="84" t="s">
        <v>559</v>
      </c>
      <c r="X229" s="84">
        <v>329</v>
      </c>
      <c r="Y229" s="84">
        <v>320</v>
      </c>
      <c r="Z229" s="84">
        <v>149</v>
      </c>
      <c r="AA229" s="84">
        <v>102</v>
      </c>
      <c r="AB229" s="84"/>
    </row>
    <row r="230" spans="2:28" x14ac:dyDescent="0.3">
      <c r="B230" s="84" t="s">
        <v>679</v>
      </c>
      <c r="C230" s="84">
        <v>0</v>
      </c>
      <c r="D230" s="84">
        <v>0</v>
      </c>
      <c r="E230" s="84">
        <v>0</v>
      </c>
      <c r="F230" s="84">
        <v>0</v>
      </c>
      <c r="G230" s="84"/>
      <c r="I230" s="84" t="s">
        <v>679</v>
      </c>
      <c r="J230" s="84">
        <v>0</v>
      </c>
      <c r="K230" s="84">
        <v>0</v>
      </c>
      <c r="L230" s="84">
        <v>0</v>
      </c>
      <c r="M230" s="84">
        <v>0</v>
      </c>
      <c r="N230" s="84"/>
      <c r="P230" s="84" t="s">
        <v>679</v>
      </c>
      <c r="Q230" s="84">
        <v>0</v>
      </c>
      <c r="R230" s="84">
        <v>0</v>
      </c>
      <c r="S230" s="84">
        <v>0</v>
      </c>
      <c r="T230" s="84">
        <v>0</v>
      </c>
      <c r="U230" s="84"/>
      <c r="W230" s="84" t="s">
        <v>679</v>
      </c>
      <c r="X230" s="84">
        <v>0</v>
      </c>
      <c r="Y230" s="84">
        <v>0</v>
      </c>
      <c r="Z230" s="84">
        <v>0</v>
      </c>
      <c r="AA230" s="84">
        <v>0</v>
      </c>
      <c r="AB230" s="84"/>
    </row>
    <row r="231" spans="2:28" x14ac:dyDescent="0.3">
      <c r="B231" s="84" t="s">
        <v>680</v>
      </c>
      <c r="C231" s="84">
        <v>0</v>
      </c>
      <c r="D231" s="84">
        <v>0</v>
      </c>
      <c r="E231" s="84">
        <v>0</v>
      </c>
      <c r="F231" s="84">
        <v>0</v>
      </c>
      <c r="G231" s="84"/>
      <c r="I231" s="84" t="s">
        <v>680</v>
      </c>
      <c r="J231" s="84">
        <v>0</v>
      </c>
      <c r="K231" s="84">
        <v>0</v>
      </c>
      <c r="L231" s="84">
        <v>0</v>
      </c>
      <c r="M231" s="84">
        <v>0</v>
      </c>
      <c r="N231" s="84"/>
      <c r="P231" s="84" t="s">
        <v>680</v>
      </c>
      <c r="Q231" s="84">
        <v>0</v>
      </c>
      <c r="R231" s="84">
        <v>0</v>
      </c>
      <c r="S231" s="84">
        <v>0</v>
      </c>
      <c r="T231" s="84">
        <v>0</v>
      </c>
      <c r="U231" s="84"/>
      <c r="W231" s="84" t="s">
        <v>680</v>
      </c>
      <c r="X231" s="84">
        <v>0</v>
      </c>
      <c r="Y231" s="84">
        <v>0</v>
      </c>
      <c r="Z231" s="84">
        <v>0</v>
      </c>
      <c r="AA231" s="84">
        <v>0</v>
      </c>
      <c r="AB231" s="84"/>
    </row>
    <row r="232" spans="2:28" x14ac:dyDescent="0.3">
      <c r="B232" s="84" t="s">
        <v>681</v>
      </c>
      <c r="C232" s="84">
        <v>0</v>
      </c>
      <c r="D232" s="84">
        <v>0</v>
      </c>
      <c r="E232" s="84">
        <v>0</v>
      </c>
      <c r="F232" s="84">
        <v>0</v>
      </c>
      <c r="G232" s="84"/>
      <c r="I232" s="84" t="s">
        <v>681</v>
      </c>
      <c r="J232" s="84">
        <v>-6</v>
      </c>
      <c r="K232" s="84">
        <v>8</v>
      </c>
      <c r="L232" s="84">
        <v>127</v>
      </c>
      <c r="M232" s="84">
        <v>-12</v>
      </c>
      <c r="N232" s="84"/>
      <c r="P232" s="84" t="s">
        <v>681</v>
      </c>
      <c r="Q232" s="84">
        <v>0</v>
      </c>
      <c r="R232" s="84">
        <v>0</v>
      </c>
      <c r="S232" s="84">
        <v>0</v>
      </c>
      <c r="T232" s="84">
        <v>0</v>
      </c>
      <c r="U232" s="84"/>
      <c r="W232" s="84" t="s">
        <v>681</v>
      </c>
      <c r="X232" s="84">
        <v>31</v>
      </c>
      <c r="Y232" s="84">
        <v>3</v>
      </c>
      <c r="Z232" s="84">
        <v>48</v>
      </c>
      <c r="AA232" s="84">
        <v>18</v>
      </c>
      <c r="AB232" s="84"/>
    </row>
    <row r="233" spans="2:28" x14ac:dyDescent="0.3">
      <c r="B233" s="84" t="s">
        <v>682</v>
      </c>
      <c r="C233" s="84">
        <v>0</v>
      </c>
      <c r="D233" s="84">
        <v>0</v>
      </c>
      <c r="E233" s="84">
        <v>0</v>
      </c>
      <c r="F233" s="84">
        <v>0</v>
      </c>
      <c r="G233" s="84"/>
      <c r="I233" s="84" t="s">
        <v>682</v>
      </c>
      <c r="J233" s="84">
        <v>0</v>
      </c>
      <c r="K233" s="84">
        <v>0</v>
      </c>
      <c r="L233" s="84">
        <v>0</v>
      </c>
      <c r="M233" s="84">
        <v>0</v>
      </c>
      <c r="N233" s="84"/>
      <c r="P233" s="84" t="s">
        <v>682</v>
      </c>
      <c r="Q233" s="84">
        <v>0</v>
      </c>
      <c r="R233" s="84">
        <v>0</v>
      </c>
      <c r="S233" s="84">
        <v>0</v>
      </c>
      <c r="T233" s="84">
        <v>0</v>
      </c>
      <c r="U233" s="84"/>
      <c r="W233" s="84" t="s">
        <v>682</v>
      </c>
      <c r="X233" s="84">
        <v>0</v>
      </c>
      <c r="Y233" s="84">
        <v>0</v>
      </c>
      <c r="Z233" s="84">
        <v>0</v>
      </c>
      <c r="AA233" s="84">
        <v>0</v>
      </c>
      <c r="AB233" s="84"/>
    </row>
    <row r="234" spans="2:28" x14ac:dyDescent="0.3">
      <c r="B234" s="84" t="s">
        <v>683</v>
      </c>
      <c r="C234" s="84">
        <v>0</v>
      </c>
      <c r="D234" s="84">
        <v>0</v>
      </c>
      <c r="E234" s="84">
        <v>0</v>
      </c>
      <c r="F234" s="84">
        <v>0</v>
      </c>
      <c r="G234" s="84"/>
      <c r="I234" s="84" t="s">
        <v>683</v>
      </c>
      <c r="J234" s="84">
        <v>0</v>
      </c>
      <c r="K234" s="84">
        <v>0</v>
      </c>
      <c r="L234" s="84">
        <v>0</v>
      </c>
      <c r="M234" s="84">
        <v>0</v>
      </c>
      <c r="N234" s="84"/>
      <c r="P234" s="84" t="s">
        <v>683</v>
      </c>
      <c r="Q234" s="84">
        <v>0</v>
      </c>
      <c r="R234" s="84">
        <v>0</v>
      </c>
      <c r="S234" s="84">
        <v>0</v>
      </c>
      <c r="T234" s="84">
        <v>0</v>
      </c>
      <c r="U234" s="84"/>
      <c r="W234" s="84" t="s">
        <v>683</v>
      </c>
      <c r="X234" s="84">
        <v>0</v>
      </c>
      <c r="Y234" s="84">
        <v>0</v>
      </c>
      <c r="Z234" s="84">
        <v>0</v>
      </c>
      <c r="AA234" s="84">
        <v>0</v>
      </c>
      <c r="AB234" s="84"/>
    </row>
    <row r="235" spans="2:28" x14ac:dyDescent="0.3">
      <c r="B235" s="84" t="s">
        <v>684</v>
      </c>
      <c r="C235" s="84">
        <v>0</v>
      </c>
      <c r="D235" s="84">
        <v>0</v>
      </c>
      <c r="E235" s="84">
        <v>0</v>
      </c>
      <c r="F235" s="84">
        <v>0</v>
      </c>
      <c r="G235" s="84"/>
      <c r="I235" s="84" t="s">
        <v>684</v>
      </c>
      <c r="J235" s="84">
        <v>0</v>
      </c>
      <c r="K235" s="84">
        <v>0</v>
      </c>
      <c r="L235" s="84">
        <v>0</v>
      </c>
      <c r="M235" s="84">
        <v>0</v>
      </c>
      <c r="N235" s="84"/>
      <c r="P235" s="84" t="s">
        <v>684</v>
      </c>
      <c r="Q235" s="84">
        <v>0</v>
      </c>
      <c r="R235" s="84">
        <v>0</v>
      </c>
      <c r="S235" s="84">
        <v>0</v>
      </c>
      <c r="T235" s="84">
        <v>0</v>
      </c>
      <c r="U235" s="84"/>
      <c r="W235" s="84" t="s">
        <v>684</v>
      </c>
      <c r="X235" s="84">
        <v>0</v>
      </c>
      <c r="Y235" s="84">
        <v>0</v>
      </c>
      <c r="Z235" s="84">
        <v>0</v>
      </c>
      <c r="AA235" s="84">
        <v>0</v>
      </c>
      <c r="AB235" s="84"/>
    </row>
    <row r="236" spans="2:28" x14ac:dyDescent="0.3">
      <c r="B236" s="84" t="s">
        <v>685</v>
      </c>
      <c r="C236" s="84">
        <v>0</v>
      </c>
      <c r="D236" s="84">
        <v>0</v>
      </c>
      <c r="E236" s="84">
        <v>0</v>
      </c>
      <c r="F236" s="84">
        <v>0</v>
      </c>
      <c r="G236" s="84"/>
      <c r="I236" s="84" t="s">
        <v>685</v>
      </c>
      <c r="J236" s="84">
        <v>0</v>
      </c>
      <c r="K236" s="84">
        <v>0</v>
      </c>
      <c r="L236" s="84">
        <v>0</v>
      </c>
      <c r="M236" s="84">
        <v>0</v>
      </c>
      <c r="N236" s="84"/>
      <c r="P236" s="84" t="s">
        <v>685</v>
      </c>
      <c r="Q236" s="84">
        <v>0</v>
      </c>
      <c r="R236" s="84">
        <v>0</v>
      </c>
      <c r="S236" s="84">
        <v>0</v>
      </c>
      <c r="T236" s="84">
        <v>0</v>
      </c>
      <c r="U236" s="84"/>
      <c r="W236" s="84" t="s">
        <v>685</v>
      </c>
      <c r="X236" s="84">
        <v>0</v>
      </c>
      <c r="Y236" s="84">
        <v>0</v>
      </c>
      <c r="Z236" s="84">
        <v>0</v>
      </c>
      <c r="AA236" s="84">
        <v>0</v>
      </c>
      <c r="AB236" s="84"/>
    </row>
    <row r="237" spans="2:28" x14ac:dyDescent="0.3">
      <c r="B237" s="84" t="s">
        <v>477</v>
      </c>
      <c r="C237" s="84">
        <v>0</v>
      </c>
      <c r="D237" s="84">
        <v>0</v>
      </c>
      <c r="E237" s="84">
        <v>0</v>
      </c>
      <c r="F237" s="84">
        <v>0</v>
      </c>
      <c r="G237" s="84"/>
      <c r="I237" s="84" t="s">
        <v>477</v>
      </c>
      <c r="J237" s="84">
        <v>-71</v>
      </c>
      <c r="K237" s="84">
        <v>-344</v>
      </c>
      <c r="L237" s="84">
        <v>-994</v>
      </c>
      <c r="M237" s="84">
        <v>-208</v>
      </c>
      <c r="N237" s="84"/>
      <c r="P237" s="84" t="s">
        <v>477</v>
      </c>
      <c r="Q237" s="84">
        <v>0</v>
      </c>
      <c r="R237" s="84">
        <v>0</v>
      </c>
      <c r="S237" s="84">
        <v>0</v>
      </c>
      <c r="T237" s="84">
        <v>0</v>
      </c>
      <c r="U237" s="84"/>
      <c r="W237" s="84" t="s">
        <v>477</v>
      </c>
      <c r="X237" s="84">
        <v>0</v>
      </c>
      <c r="Y237" s="84">
        <v>-7</v>
      </c>
      <c r="Z237" s="84">
        <v>0</v>
      </c>
      <c r="AA237" s="84">
        <v>0</v>
      </c>
      <c r="AB237" s="84"/>
    </row>
    <row r="238" spans="2:28" x14ac:dyDescent="0.3">
      <c r="B238" s="84" t="s">
        <v>686</v>
      </c>
      <c r="C238" s="84">
        <v>0</v>
      </c>
      <c r="D238" s="84">
        <v>0</v>
      </c>
      <c r="E238" s="84">
        <v>0</v>
      </c>
      <c r="F238" s="84">
        <v>0</v>
      </c>
      <c r="G238" s="84"/>
      <c r="I238" s="84" t="s">
        <v>686</v>
      </c>
      <c r="J238" s="84">
        <v>-1327</v>
      </c>
      <c r="K238" s="84">
        <v>-1258</v>
      </c>
      <c r="L238" s="84">
        <v>0</v>
      </c>
      <c r="M238" s="84">
        <v>-387</v>
      </c>
      <c r="N238" s="84"/>
      <c r="P238" s="84" t="s">
        <v>686</v>
      </c>
      <c r="Q238" s="84">
        <v>0</v>
      </c>
      <c r="R238" s="84">
        <v>0</v>
      </c>
      <c r="S238" s="84">
        <v>0</v>
      </c>
      <c r="T238" s="84">
        <v>0</v>
      </c>
      <c r="U238" s="84"/>
      <c r="W238" s="84" t="s">
        <v>686</v>
      </c>
      <c r="X238" s="84">
        <v>-2242</v>
      </c>
      <c r="Y238" s="84">
        <v>-1831</v>
      </c>
      <c r="Z238" s="84">
        <v>-1686</v>
      </c>
      <c r="AA238" s="84">
        <v>-1201</v>
      </c>
      <c r="AB238" s="84"/>
    </row>
    <row r="239" spans="2:28" x14ac:dyDescent="0.3">
      <c r="B239" s="84" t="s">
        <v>687</v>
      </c>
      <c r="C239" s="84">
        <v>0</v>
      </c>
      <c r="D239" s="84">
        <v>0</v>
      </c>
      <c r="E239" s="84">
        <v>0</v>
      </c>
      <c r="F239" s="84">
        <v>0</v>
      </c>
      <c r="G239" s="84"/>
      <c r="I239" s="84" t="s">
        <v>687</v>
      </c>
      <c r="J239" s="84">
        <v>-992</v>
      </c>
      <c r="K239" s="84">
        <v>84</v>
      </c>
      <c r="L239" s="84">
        <v>-277</v>
      </c>
      <c r="M239" s="84">
        <v>-17</v>
      </c>
      <c r="N239" s="84"/>
      <c r="P239" s="84" t="s">
        <v>687</v>
      </c>
      <c r="Q239" s="84">
        <v>0</v>
      </c>
      <c r="R239" s="84">
        <v>0</v>
      </c>
      <c r="S239" s="84">
        <v>0</v>
      </c>
      <c r="T239" s="84">
        <v>0</v>
      </c>
      <c r="U239" s="84"/>
      <c r="W239" s="84" t="s">
        <v>687</v>
      </c>
      <c r="X239" s="84">
        <v>-984</v>
      </c>
      <c r="Y239" s="84">
        <v>-1368</v>
      </c>
      <c r="Z239" s="84">
        <v>-501</v>
      </c>
      <c r="AA239" s="84">
        <v>-708</v>
      </c>
      <c r="AB239" s="84"/>
    </row>
    <row r="240" spans="2:28" x14ac:dyDescent="0.3">
      <c r="B240" s="84" t="s">
        <v>688</v>
      </c>
      <c r="C240" s="84">
        <v>0</v>
      </c>
      <c r="D240" s="84">
        <v>0</v>
      </c>
      <c r="E240" s="84">
        <v>0</v>
      </c>
      <c r="F240" s="84">
        <v>0</v>
      </c>
      <c r="G240" s="84"/>
      <c r="I240" s="84" t="s">
        <v>688</v>
      </c>
      <c r="J240" s="84">
        <v>0</v>
      </c>
      <c r="K240" s="84">
        <v>0</v>
      </c>
      <c r="L240" s="84">
        <v>0</v>
      </c>
      <c r="M240" s="84">
        <v>0</v>
      </c>
      <c r="N240" s="84"/>
      <c r="P240" s="84" t="s">
        <v>688</v>
      </c>
      <c r="Q240" s="84">
        <v>0</v>
      </c>
      <c r="R240" s="84">
        <v>0</v>
      </c>
      <c r="S240" s="84">
        <v>0</v>
      </c>
      <c r="T240" s="84">
        <v>0</v>
      </c>
      <c r="U240" s="84"/>
      <c r="W240" s="84" t="s">
        <v>688</v>
      </c>
      <c r="X240" s="84">
        <v>0</v>
      </c>
      <c r="Y240" s="84">
        <v>0</v>
      </c>
      <c r="Z240" s="84">
        <v>0</v>
      </c>
      <c r="AA240" s="84">
        <v>0</v>
      </c>
      <c r="AB240" s="84"/>
    </row>
    <row r="241" spans="2:28" x14ac:dyDescent="0.3">
      <c r="B241" s="84" t="s">
        <v>689</v>
      </c>
      <c r="C241" s="84">
        <v>0</v>
      </c>
      <c r="D241" s="84">
        <v>0</v>
      </c>
      <c r="E241" s="84">
        <v>0</v>
      </c>
      <c r="F241" s="84">
        <v>0</v>
      </c>
      <c r="G241" s="84"/>
      <c r="I241" s="84" t="s">
        <v>689</v>
      </c>
      <c r="J241" s="84">
        <v>-13612</v>
      </c>
      <c r="K241" s="84">
        <v>-5427</v>
      </c>
      <c r="L241" s="84">
        <v>-8794</v>
      </c>
      <c r="M241" s="84">
        <v>4805</v>
      </c>
      <c r="N241" s="84"/>
      <c r="P241" s="84" t="s">
        <v>689</v>
      </c>
      <c r="Q241" s="84">
        <v>0</v>
      </c>
      <c r="R241" s="84">
        <v>0</v>
      </c>
      <c r="S241" s="84">
        <v>0</v>
      </c>
      <c r="T241" s="84">
        <v>0</v>
      </c>
      <c r="U241" s="84"/>
      <c r="W241" s="84" t="s">
        <v>689</v>
      </c>
      <c r="X241" s="84">
        <v>-11203</v>
      </c>
      <c r="Y241" s="84">
        <v>-891</v>
      </c>
      <c r="Z241" s="84">
        <v>3700</v>
      </c>
      <c r="AA241" s="84">
        <v>-14028</v>
      </c>
      <c r="AB241" s="84"/>
    </row>
    <row r="242" spans="2:28" x14ac:dyDescent="0.3">
      <c r="B242" s="84" t="s">
        <v>690</v>
      </c>
      <c r="C242" s="84">
        <v>0</v>
      </c>
      <c r="D242" s="84">
        <v>0</v>
      </c>
      <c r="E242" s="84">
        <v>0</v>
      </c>
      <c r="F242" s="84">
        <v>0</v>
      </c>
      <c r="G242" s="84"/>
      <c r="I242" s="84" t="s">
        <v>690</v>
      </c>
      <c r="J242" s="84">
        <v>-1020</v>
      </c>
      <c r="K242" s="84">
        <v>5249</v>
      </c>
      <c r="L242" s="84">
        <v>-1122</v>
      </c>
      <c r="M242" s="84">
        <v>-972</v>
      </c>
      <c r="N242" s="84"/>
      <c r="P242" s="84" t="s">
        <v>690</v>
      </c>
      <c r="Q242" s="84">
        <v>0</v>
      </c>
      <c r="R242" s="84">
        <v>0</v>
      </c>
      <c r="S242" s="84">
        <v>0</v>
      </c>
      <c r="T242" s="84">
        <v>0</v>
      </c>
      <c r="U242" s="84"/>
      <c r="W242" s="84" t="s">
        <v>690</v>
      </c>
      <c r="X242" s="84">
        <v>-11850</v>
      </c>
      <c r="Y242" s="84">
        <v>-13395</v>
      </c>
      <c r="Z242" s="84">
        <v>-1811</v>
      </c>
      <c r="AA242" s="84">
        <v>135</v>
      </c>
      <c r="AB242" s="84"/>
    </row>
    <row r="243" spans="2:28" x14ac:dyDescent="0.3">
      <c r="B243" s="84" t="s">
        <v>691</v>
      </c>
      <c r="C243" s="84">
        <v>0</v>
      </c>
      <c r="D243" s="84">
        <v>0</v>
      </c>
      <c r="E243" s="84">
        <v>0</v>
      </c>
      <c r="F243" s="84">
        <v>0</v>
      </c>
      <c r="G243" s="84"/>
      <c r="I243" s="84" t="s">
        <v>691</v>
      </c>
      <c r="J243" s="84">
        <v>-14013</v>
      </c>
      <c r="K243" s="84">
        <v>-8940</v>
      </c>
      <c r="L243" s="84">
        <v>-13573</v>
      </c>
      <c r="M243" s="84">
        <v>-14234</v>
      </c>
      <c r="N243" s="84"/>
      <c r="P243" s="84" t="s">
        <v>691</v>
      </c>
      <c r="Q243" s="84">
        <v>0</v>
      </c>
      <c r="R243" s="84">
        <v>0</v>
      </c>
      <c r="S243" s="84">
        <v>0</v>
      </c>
      <c r="T243" s="84">
        <v>0</v>
      </c>
      <c r="U243" s="84"/>
      <c r="W243" s="84" t="s">
        <v>691</v>
      </c>
      <c r="X243" s="84">
        <v>18047</v>
      </c>
      <c r="Y243" s="84">
        <v>361</v>
      </c>
      <c r="Z243" s="84">
        <v>1225</v>
      </c>
      <c r="AA243" s="84">
        <v>633</v>
      </c>
      <c r="AB243" s="84"/>
    </row>
    <row r="244" spans="2:28" x14ac:dyDescent="0.3">
      <c r="B244" s="84" t="s">
        <v>692</v>
      </c>
      <c r="C244" s="84">
        <v>0</v>
      </c>
      <c r="D244" s="84">
        <v>0</v>
      </c>
      <c r="E244" s="84">
        <v>0</v>
      </c>
      <c r="F244" s="84">
        <v>0</v>
      </c>
      <c r="G244" s="84"/>
      <c r="I244" s="84" t="s">
        <v>692</v>
      </c>
      <c r="J244" s="84">
        <v>0</v>
      </c>
      <c r="K244" s="84">
        <v>0</v>
      </c>
      <c r="L244" s="84">
        <v>0</v>
      </c>
      <c r="M244" s="84">
        <v>0</v>
      </c>
      <c r="N244" s="84"/>
      <c r="P244" s="84" t="s">
        <v>692</v>
      </c>
      <c r="Q244" s="84">
        <v>0</v>
      </c>
      <c r="R244" s="84">
        <v>0</v>
      </c>
      <c r="S244" s="84">
        <v>0</v>
      </c>
      <c r="T244" s="84">
        <v>0</v>
      </c>
      <c r="U244" s="84"/>
      <c r="W244" s="84" t="s">
        <v>692</v>
      </c>
      <c r="X244" s="84">
        <v>0</v>
      </c>
      <c r="Y244" s="84">
        <v>0</v>
      </c>
      <c r="Z244" s="84">
        <v>0</v>
      </c>
      <c r="AA244" s="84">
        <v>0</v>
      </c>
      <c r="AB244" s="84"/>
    </row>
    <row r="245" spans="2:28" x14ac:dyDescent="0.3">
      <c r="B245" s="84" t="s">
        <v>693</v>
      </c>
      <c r="C245" s="84">
        <v>0</v>
      </c>
      <c r="D245" s="84">
        <v>0</v>
      </c>
      <c r="E245" s="84">
        <v>0</v>
      </c>
      <c r="F245" s="84">
        <v>0</v>
      </c>
      <c r="G245" s="84"/>
      <c r="I245" s="84" t="s">
        <v>693</v>
      </c>
      <c r="J245" s="84">
        <v>0</v>
      </c>
      <c r="K245" s="84">
        <v>0</v>
      </c>
      <c r="L245" s="84">
        <v>0</v>
      </c>
      <c r="M245" s="84">
        <v>0</v>
      </c>
      <c r="N245" s="84"/>
      <c r="P245" s="84" t="s">
        <v>693</v>
      </c>
      <c r="Q245" s="84">
        <v>0</v>
      </c>
      <c r="R245" s="84">
        <v>0</v>
      </c>
      <c r="S245" s="84">
        <v>0</v>
      </c>
      <c r="T245" s="84">
        <v>0</v>
      </c>
      <c r="U245" s="84"/>
      <c r="W245" s="84" t="s">
        <v>693</v>
      </c>
      <c r="X245" s="84">
        <v>0</v>
      </c>
      <c r="Y245" s="84">
        <v>0</v>
      </c>
      <c r="Z245" s="84">
        <v>0</v>
      </c>
      <c r="AA245" s="84">
        <v>0</v>
      </c>
      <c r="AB245" s="84"/>
    </row>
    <row r="246" spans="2:28" x14ac:dyDescent="0.3">
      <c r="B246" s="84" t="s">
        <v>694</v>
      </c>
      <c r="C246" s="84">
        <v>0</v>
      </c>
      <c r="D246" s="84">
        <v>0</v>
      </c>
      <c r="E246" s="84">
        <v>0</v>
      </c>
      <c r="F246" s="84">
        <v>0</v>
      </c>
      <c r="G246" s="84"/>
      <c r="I246" s="84" t="s">
        <v>694</v>
      </c>
      <c r="J246" s="84">
        <v>-3743</v>
      </c>
      <c r="K246" s="84">
        <v>-740</v>
      </c>
      <c r="L246" s="84">
        <v>-542</v>
      </c>
      <c r="M246" s="84">
        <v>0</v>
      </c>
      <c r="N246" s="84"/>
      <c r="P246" s="84" t="s">
        <v>694</v>
      </c>
      <c r="Q246" s="84">
        <v>0</v>
      </c>
      <c r="R246" s="84">
        <v>0</v>
      </c>
      <c r="S246" s="84">
        <v>0</v>
      </c>
      <c r="T246" s="84">
        <v>0</v>
      </c>
      <c r="U246" s="84"/>
      <c r="W246" s="84" t="s">
        <v>694</v>
      </c>
      <c r="X246" s="84">
        <v>235</v>
      </c>
      <c r="Y246" s="84">
        <v>187</v>
      </c>
      <c r="Z246" s="84">
        <v>158</v>
      </c>
      <c r="AA246" s="84">
        <v>983</v>
      </c>
      <c r="AB246" s="84"/>
    </row>
    <row r="247" spans="2:28" x14ac:dyDescent="0.3">
      <c r="B247" s="84" t="s">
        <v>695</v>
      </c>
      <c r="C247" s="84">
        <v>0</v>
      </c>
      <c r="D247" s="84">
        <v>0</v>
      </c>
      <c r="E247" s="84">
        <v>0</v>
      </c>
      <c r="F247" s="84">
        <v>0</v>
      </c>
      <c r="G247" s="84"/>
      <c r="I247" s="84" t="s">
        <v>695</v>
      </c>
      <c r="J247" s="84">
        <v>-17096</v>
      </c>
      <c r="K247" s="84">
        <v>7772</v>
      </c>
      <c r="L247" s="84">
        <v>-4606</v>
      </c>
      <c r="M247" s="84">
        <v>6829</v>
      </c>
      <c r="N247" s="84"/>
      <c r="P247" s="84" t="s">
        <v>695</v>
      </c>
      <c r="Q247" s="84">
        <v>0</v>
      </c>
      <c r="R247" s="84">
        <v>0</v>
      </c>
      <c r="S247" s="84">
        <v>0</v>
      </c>
      <c r="T247" s="84">
        <v>0</v>
      </c>
      <c r="U247" s="84"/>
      <c r="W247" s="84" t="s">
        <v>695</v>
      </c>
      <c r="X247" s="84">
        <v>41981</v>
      </c>
      <c r="Y247" s="84">
        <v>29095</v>
      </c>
      <c r="Z247" s="84">
        <v>43577</v>
      </c>
      <c r="AA247" s="84">
        <v>21781</v>
      </c>
      <c r="AB247" s="84"/>
    </row>
    <row r="248" spans="2:28" x14ac:dyDescent="0.3">
      <c r="B248" s="84" t="s">
        <v>696</v>
      </c>
      <c r="C248" s="84">
        <v>0</v>
      </c>
      <c r="D248" s="84">
        <v>0</v>
      </c>
      <c r="E248" s="84">
        <v>0</v>
      </c>
      <c r="F248" s="84">
        <v>0</v>
      </c>
      <c r="G248" s="84"/>
      <c r="I248" s="84" t="s">
        <v>696</v>
      </c>
      <c r="J248" s="84">
        <v>0</v>
      </c>
      <c r="K248" s="84">
        <v>0</v>
      </c>
      <c r="L248" s="84">
        <v>0</v>
      </c>
      <c r="M248" s="84">
        <v>0</v>
      </c>
      <c r="N248" s="84"/>
      <c r="P248" s="84" t="s">
        <v>696</v>
      </c>
      <c r="Q248" s="84">
        <v>0</v>
      </c>
      <c r="R248" s="84">
        <v>0</v>
      </c>
      <c r="S248" s="84">
        <v>0</v>
      </c>
      <c r="T248" s="84">
        <v>0</v>
      </c>
      <c r="U248" s="84"/>
      <c r="W248" s="84" t="s">
        <v>696</v>
      </c>
      <c r="X248" s="84">
        <v>0</v>
      </c>
      <c r="Y248" s="84">
        <v>0</v>
      </c>
      <c r="Z248" s="84">
        <v>0</v>
      </c>
      <c r="AA248" s="84">
        <v>0</v>
      </c>
      <c r="AB248" s="84"/>
    </row>
    <row r="249" spans="2:28" x14ac:dyDescent="0.3">
      <c r="B249" s="84" t="s">
        <v>697</v>
      </c>
      <c r="C249" s="84">
        <v>0</v>
      </c>
      <c r="D249" s="84">
        <v>0</v>
      </c>
      <c r="E249" s="84">
        <v>0</v>
      </c>
      <c r="F249" s="84">
        <v>0</v>
      </c>
      <c r="G249" s="84"/>
      <c r="I249" s="84" t="s">
        <v>697</v>
      </c>
      <c r="J249" s="84">
        <v>0</v>
      </c>
      <c r="K249" s="84">
        <v>0</v>
      </c>
      <c r="L249" s="84">
        <v>0</v>
      </c>
      <c r="M249" s="84">
        <v>0</v>
      </c>
      <c r="N249" s="84"/>
      <c r="P249" s="84" t="s">
        <v>697</v>
      </c>
      <c r="Q249" s="84">
        <v>0</v>
      </c>
      <c r="R249" s="84">
        <v>0</v>
      </c>
      <c r="S249" s="84">
        <v>0</v>
      </c>
      <c r="T249" s="84">
        <v>0</v>
      </c>
      <c r="U249" s="84"/>
      <c r="W249" s="84" t="s">
        <v>697</v>
      </c>
      <c r="X249" s="84">
        <v>0</v>
      </c>
      <c r="Y249" s="84">
        <v>0</v>
      </c>
      <c r="Z249" s="84">
        <v>0</v>
      </c>
      <c r="AA249" s="84">
        <v>0</v>
      </c>
      <c r="AB249" s="84"/>
    </row>
    <row r="250" spans="2:28" x14ac:dyDescent="0.3">
      <c r="B250" s="84" t="s">
        <v>698</v>
      </c>
      <c r="C250" s="84">
        <v>0</v>
      </c>
      <c r="D250" s="84">
        <v>0</v>
      </c>
      <c r="E250" s="84">
        <v>0</v>
      </c>
      <c r="F250" s="84">
        <v>0</v>
      </c>
      <c r="G250" s="84"/>
      <c r="I250" s="84" t="s">
        <v>698</v>
      </c>
      <c r="J250" s="84">
        <v>0</v>
      </c>
      <c r="K250" s="84">
        <v>0</v>
      </c>
      <c r="L250" s="84">
        <v>0</v>
      </c>
      <c r="M250" s="84">
        <v>0</v>
      </c>
      <c r="N250" s="84"/>
      <c r="P250" s="84" t="s">
        <v>698</v>
      </c>
      <c r="Q250" s="84">
        <v>0</v>
      </c>
      <c r="R250" s="84">
        <v>0</v>
      </c>
      <c r="S250" s="84">
        <v>0</v>
      </c>
      <c r="T250" s="84">
        <v>0</v>
      </c>
      <c r="U250" s="84"/>
      <c r="W250" s="84" t="s">
        <v>698</v>
      </c>
      <c r="X250" s="84">
        <v>0</v>
      </c>
      <c r="Y250" s="84">
        <v>0</v>
      </c>
      <c r="Z250" s="84">
        <v>0</v>
      </c>
      <c r="AA250" s="84">
        <v>0</v>
      </c>
      <c r="AB250" s="84"/>
    </row>
    <row r="251" spans="2:28" x14ac:dyDescent="0.3">
      <c r="B251" s="84" t="s">
        <v>699</v>
      </c>
      <c r="C251" s="84">
        <v>42530</v>
      </c>
      <c r="D251" s="84">
        <v>53520</v>
      </c>
      <c r="E251" s="84">
        <v>89348</v>
      </c>
      <c r="F251" s="84">
        <v>74741</v>
      </c>
      <c r="G251" s="84"/>
      <c r="I251" s="84" t="s">
        <v>699</v>
      </c>
      <c r="J251" s="84">
        <v>24548</v>
      </c>
      <c r="K251" s="84">
        <v>0</v>
      </c>
      <c r="L251" s="84">
        <v>0</v>
      </c>
      <c r="M251" s="84">
        <v>0</v>
      </c>
      <c r="N251" s="84"/>
      <c r="P251" s="84" t="s">
        <v>699</v>
      </c>
      <c r="Q251" s="84">
        <v>38571</v>
      </c>
      <c r="R251" s="84">
        <v>77718</v>
      </c>
      <c r="S251" s="84">
        <v>73434</v>
      </c>
      <c r="T251" s="84">
        <v>48955</v>
      </c>
      <c r="U251" s="84"/>
      <c r="W251" s="84" t="s">
        <v>699</v>
      </c>
      <c r="X251" s="84">
        <v>52678</v>
      </c>
      <c r="Y251" s="84">
        <v>72405</v>
      </c>
      <c r="Z251" s="84">
        <v>93898</v>
      </c>
      <c r="AA251" s="84">
        <v>68937</v>
      </c>
      <c r="AB251" s="84"/>
    </row>
    <row r="252" spans="2:28" x14ac:dyDescent="0.3">
      <c r="B252" s="84" t="s">
        <v>700</v>
      </c>
      <c r="C252" s="84">
        <v>52678</v>
      </c>
      <c r="D252" s="84">
        <v>72405</v>
      </c>
      <c r="E252" s="84">
        <v>93898</v>
      </c>
      <c r="F252" s="84">
        <v>68937</v>
      </c>
      <c r="G252" s="84"/>
      <c r="I252" s="84" t="s">
        <v>700</v>
      </c>
      <c r="J252" s="84">
        <v>52678</v>
      </c>
      <c r="K252" s="84">
        <v>0</v>
      </c>
      <c r="L252" s="84">
        <v>0</v>
      </c>
      <c r="M252" s="84">
        <v>0</v>
      </c>
      <c r="N252" s="84"/>
      <c r="P252" s="84" t="s">
        <v>700</v>
      </c>
      <c r="Q252" s="84">
        <v>72405</v>
      </c>
      <c r="R252" s="84">
        <v>93898</v>
      </c>
      <c r="S252" s="84">
        <v>68937</v>
      </c>
      <c r="T252" s="84">
        <v>66237</v>
      </c>
      <c r="U252" s="84"/>
      <c r="W252" s="84" t="s">
        <v>700</v>
      </c>
      <c r="X252" s="84">
        <v>72405</v>
      </c>
      <c r="Y252" s="84">
        <v>93898</v>
      </c>
      <c r="Z252" s="84">
        <v>68937</v>
      </c>
      <c r="AA252" s="84">
        <v>66237</v>
      </c>
      <c r="AB252" s="84"/>
    </row>
    <row r="253" spans="2:28" x14ac:dyDescent="0.3">
      <c r="B253" s="84" t="s">
        <v>701</v>
      </c>
      <c r="C253" s="84">
        <v>0</v>
      </c>
      <c r="D253" s="84">
        <v>0</v>
      </c>
      <c r="E253" s="84">
        <v>0</v>
      </c>
      <c r="F253" s="84">
        <v>0</v>
      </c>
      <c r="G253" s="84"/>
      <c r="I253" s="84" t="s">
        <v>701</v>
      </c>
      <c r="J253" s="84">
        <v>0</v>
      </c>
      <c r="K253" s="84">
        <v>41977</v>
      </c>
      <c r="L253" s="84">
        <v>54476</v>
      </c>
      <c r="M253" s="84">
        <v>64670</v>
      </c>
      <c r="N253" s="84"/>
      <c r="P253" s="84" t="s">
        <v>701</v>
      </c>
      <c r="Q253" s="84">
        <v>0</v>
      </c>
      <c r="R253" s="84">
        <v>0</v>
      </c>
      <c r="S253" s="84">
        <v>0</v>
      </c>
      <c r="T253" s="84">
        <v>0</v>
      </c>
      <c r="U253" s="84"/>
      <c r="W253" s="84" t="s">
        <v>701</v>
      </c>
      <c r="X253" s="84">
        <v>0</v>
      </c>
      <c r="Y253" s="84">
        <v>0</v>
      </c>
      <c r="Z253" s="84">
        <v>0</v>
      </c>
      <c r="AA253" s="84">
        <v>0</v>
      </c>
      <c r="AB253" s="84"/>
    </row>
    <row r="254" spans="2:28" x14ac:dyDescent="0.3">
      <c r="B254" s="84" t="s">
        <v>702</v>
      </c>
      <c r="C254" s="84">
        <v>0</v>
      </c>
      <c r="D254" s="84">
        <v>0</v>
      </c>
      <c r="E254" s="84">
        <v>0</v>
      </c>
      <c r="F254" s="84">
        <v>0</v>
      </c>
      <c r="G254" s="84"/>
      <c r="I254" s="84" t="s">
        <v>702</v>
      </c>
      <c r="J254" s="84">
        <v>0</v>
      </c>
      <c r="K254" s="84">
        <v>72405</v>
      </c>
      <c r="L254" s="84">
        <v>93898</v>
      </c>
      <c r="M254" s="84">
        <v>68937</v>
      </c>
      <c r="N254" s="84"/>
      <c r="P254" s="84" t="s">
        <v>702</v>
      </c>
      <c r="Q254" s="84">
        <v>0</v>
      </c>
      <c r="R254" s="84">
        <v>0</v>
      </c>
      <c r="S254" s="84">
        <v>0</v>
      </c>
      <c r="T254" s="84">
        <v>0</v>
      </c>
      <c r="U254" s="84"/>
      <c r="W254" s="84" t="s">
        <v>702</v>
      </c>
      <c r="X254" s="84">
        <v>0</v>
      </c>
      <c r="Y254" s="84">
        <v>0</v>
      </c>
      <c r="Z254" s="84">
        <v>0</v>
      </c>
      <c r="AA254" s="84">
        <v>0</v>
      </c>
      <c r="AB254" s="84"/>
    </row>
    <row r="255" spans="2:28" x14ac:dyDescent="0.3">
      <c r="B255" s="84" t="s">
        <v>703</v>
      </c>
      <c r="C255" s="84">
        <v>-10149</v>
      </c>
      <c r="D255" s="84">
        <v>-18885</v>
      </c>
      <c r="E255" s="84">
        <v>-4550</v>
      </c>
      <c r="F255" s="84">
        <v>5805</v>
      </c>
      <c r="G255" s="84"/>
      <c r="I255" s="84" t="s">
        <v>703</v>
      </c>
      <c r="J255" s="84">
        <v>-28131</v>
      </c>
      <c r="K255" s="84">
        <v>-30428</v>
      </c>
      <c r="L255" s="84">
        <v>-39422</v>
      </c>
      <c r="M255" s="84">
        <v>-4267</v>
      </c>
      <c r="N255" s="84"/>
      <c r="P255" s="84" t="s">
        <v>703</v>
      </c>
      <c r="Q255" s="84">
        <v>-33834</v>
      </c>
      <c r="R255" s="84">
        <v>-16180</v>
      </c>
      <c r="S255" s="84">
        <v>4497</v>
      </c>
      <c r="T255" s="84">
        <v>-17282</v>
      </c>
      <c r="U255" s="84"/>
      <c r="W255" s="84" t="s">
        <v>703</v>
      </c>
      <c r="X255" s="84">
        <v>-19727</v>
      </c>
      <c r="Y255" s="84">
        <v>-21493</v>
      </c>
      <c r="Z255" s="84">
        <v>24961</v>
      </c>
      <c r="AA255" s="84">
        <v>2700</v>
      </c>
      <c r="AB255" s="8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O23"/>
  <sheetViews>
    <sheetView showGridLines="0" tabSelected="1" topLeftCell="B1" zoomScale="93" workbookViewId="0">
      <selection activeCell="L14" sqref="L14"/>
    </sheetView>
  </sheetViews>
  <sheetFormatPr defaultColWidth="0" defaultRowHeight="13.5" zeroHeight="1" x14ac:dyDescent="0.3"/>
  <cols>
    <col min="1" max="1" width="9.06640625" customWidth="1"/>
    <col min="2" max="2" width="12.6640625" customWidth="1"/>
    <col min="3" max="4" width="11.1328125" bestFit="1" customWidth="1"/>
    <col min="5" max="6" width="11.265625" bestFit="1" customWidth="1"/>
    <col min="7" max="8" width="8.796875" bestFit="1" customWidth="1"/>
    <col min="9" max="9" width="8.796875" customWidth="1"/>
    <col min="10" max="10" width="11.796875" customWidth="1"/>
    <col min="11" max="11" width="8.06640625" bestFit="1" customWidth="1"/>
    <col min="12" max="12" width="10.796875" customWidth="1"/>
    <col min="13" max="14" width="11.06640625" customWidth="1"/>
    <col min="15" max="15" width="9.06640625" customWidth="1"/>
    <col min="16" max="16384" width="9.06640625" hidden="1"/>
  </cols>
  <sheetData>
    <row r="1" spans="2:14" x14ac:dyDescent="0.3"/>
    <row r="2" spans="2:14" s="86" customFormat="1" ht="24" customHeight="1" x14ac:dyDescent="0.3">
      <c r="B2" s="142" t="str">
        <f>StockName&amp;"/季度分析报表(Alpha)"</f>
        <v>富安娜/季度分析报表(Alpha)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</row>
    <row r="3" spans="2:14" x14ac:dyDescent="0.3"/>
    <row r="4" spans="2:14" x14ac:dyDescent="0.3">
      <c r="B4" s="44" t="s">
        <v>757</v>
      </c>
      <c r="C4" s="90">
        <f ca="1">VLOOKUP("报告日期*",INDIRECT("is_Q"&amp;RPTYPE,TRUE),2,0)</f>
        <v>42916</v>
      </c>
      <c r="D4" s="90">
        <f ca="1">VLOOKUP("报告日期*",INDIRECT("is_Q"&amp;RPTYPE,TRUE),3,0)</f>
        <v>42551</v>
      </c>
      <c r="E4" s="90">
        <f ca="1">VLOOKUP("报告日期*",INDIRECT("is_Q"&amp;(IF(RPTYPE=1,5,RPTYPE)-1),TRUE),2,0)</f>
        <v>42825</v>
      </c>
      <c r="F4" s="90">
        <f ca="1">VLOOKUP("报告日期*",INDIRECT("is_Q"&amp;(IF(RPTYPE=1,5,RPTYPE)-1),TRUE),3,0)</f>
        <v>42460</v>
      </c>
      <c r="G4" s="91" t="s">
        <v>766</v>
      </c>
      <c r="H4" s="89" t="s">
        <v>767</v>
      </c>
      <c r="I4" s="89" t="s">
        <v>764</v>
      </c>
      <c r="J4" s="89" t="s">
        <v>768</v>
      </c>
      <c r="K4" s="89" t="s">
        <v>758</v>
      </c>
      <c r="L4" s="89" t="s">
        <v>784</v>
      </c>
      <c r="M4" s="93" t="s">
        <v>765</v>
      </c>
      <c r="N4" s="93" t="s">
        <v>769</v>
      </c>
    </row>
    <row r="5" spans="2:14" x14ac:dyDescent="0.3">
      <c r="B5" s="88" t="s">
        <v>773</v>
      </c>
      <c r="C5" s="95">
        <f ca="1">VLOOKUP("营业收入*",INDIRECT("is_Q"&amp;RPTYPE,TRUE),2,0)/10000</f>
        <v>9.6128999999999998</v>
      </c>
      <c r="D5" s="95">
        <f ca="1">VLOOKUP("营业收入*",INDIRECT("is_Q"&amp;RPTYPE,TRUE),3,0)/10000</f>
        <v>8.8115000000000006</v>
      </c>
      <c r="E5" s="95">
        <f ca="1">VLOOKUP("营业收入*",INDIRECT("is_Q"&amp;(IF(RPTYPE=1,5,RPTYPE)-1),TRUE),2,0)/10000</f>
        <v>4.3136999999999999</v>
      </c>
      <c r="F5" s="95">
        <f ca="1">VLOOKUP("营业收入*",INDIRECT("is_Q"&amp;(IF(RPTYPE=1,5,RPTYPE)-1),TRUE),3,0)/10000</f>
        <v>4.3113000000000001</v>
      </c>
      <c r="G5" s="95">
        <f ca="1">C5-E5</f>
        <v>5.2991999999999999</v>
      </c>
      <c r="H5" s="94">
        <f ca="1">D5-F5</f>
        <v>4.5002000000000004</v>
      </c>
      <c r="I5" s="94">
        <f ca="1">G5-H5</f>
        <v>0.79899999999999949</v>
      </c>
      <c r="J5" s="97">
        <f ca="1">I5/H5</f>
        <v>0.17754766454824217</v>
      </c>
      <c r="K5" s="94">
        <f ca="1">G5-E5</f>
        <v>0.98550000000000004</v>
      </c>
      <c r="L5" s="97">
        <f ca="1">IFERROR((G5-E5)/E5,0)</f>
        <v>0.22845816816190279</v>
      </c>
      <c r="M5" s="94">
        <f ca="1">C5-D5</f>
        <v>0.80139999999999922</v>
      </c>
      <c r="N5" s="97">
        <f ca="1">M5/D5</f>
        <v>9.0949327583271761E-2</v>
      </c>
    </row>
    <row r="6" spans="2:14" x14ac:dyDescent="0.3">
      <c r="B6" s="88" t="s">
        <v>774</v>
      </c>
      <c r="C6" s="95">
        <f ca="1">VLOOKUP("营业成本*",INDIRECT("is_Q"&amp;RPTYPE,TRUE),2,0)/10000</f>
        <v>4.7858000000000001</v>
      </c>
      <c r="D6" s="95">
        <f ca="1">VLOOKUP("营业成本*",INDIRECT("is_Q"&amp;RPTYPE,TRUE),3,0)/10000</f>
        <v>4.2990000000000004</v>
      </c>
      <c r="E6" s="95">
        <f ca="1">VLOOKUP("营业成本*",INDIRECT("is_Q"&amp;(IF(RPTYPE=1,5,RPTYPE)-1),TRUE),2,0)/10000</f>
        <v>2.1461000000000001</v>
      </c>
      <c r="F6" s="95">
        <f ca="1">VLOOKUP("营业成本*",INDIRECT("is_Q"&amp;(IF(RPTYPE=1,5,RPTYPE)-1),TRUE),3,0)/10000</f>
        <v>2.1183000000000001</v>
      </c>
      <c r="G6" s="95">
        <f ca="1">C6-E6</f>
        <v>2.6396999999999999</v>
      </c>
      <c r="H6" s="94">
        <f t="shared" ref="H6:H15" ca="1" si="0">D6-F6</f>
        <v>2.1807000000000003</v>
      </c>
      <c r="I6" s="94">
        <f t="shared" ref="I6:I15" ca="1" si="1">G6-H6</f>
        <v>0.45899999999999963</v>
      </c>
      <c r="J6" s="97">
        <f t="shared" ref="J6:J15" ca="1" si="2">I6/H6</f>
        <v>0.21048287247214179</v>
      </c>
      <c r="K6" s="94">
        <f ca="1">G6-E6</f>
        <v>0.49359999999999982</v>
      </c>
      <c r="L6" s="97">
        <f t="shared" ref="L6:L16" ca="1" si="3">IFERROR((G6-E6)/E6,0)</f>
        <v>0.22999860211546516</v>
      </c>
      <c r="M6" s="94">
        <f t="shared" ref="M6:M15" ca="1" si="4">C6-D6</f>
        <v>0.48679999999999968</v>
      </c>
      <c r="N6" s="97">
        <f t="shared" ref="N6:N15" ca="1" si="5">M6/D6</f>
        <v>0.11323563619446374</v>
      </c>
    </row>
    <row r="7" spans="2:14" x14ac:dyDescent="0.3">
      <c r="B7" s="44" t="s">
        <v>775</v>
      </c>
      <c r="C7" s="92">
        <f ca="1">VLOOKUP("销售费用*",INDIRECT("is_Q"&amp;RPTYPE,TRUE),2,0)/10000</f>
        <v>2.5512000000000001</v>
      </c>
      <c r="D7" s="92">
        <f ca="1">VLOOKUP("销售费用*",INDIRECT("is_Q"&amp;RPTYPE,TRUE),3,0)/10000</f>
        <v>2.1371000000000002</v>
      </c>
      <c r="E7" s="92">
        <f ca="1">VLOOKUP("销售费用*",INDIRECT("is_Q"&amp;(IF(RPTYPE=1,5,RPTYPE)-1),TRUE),2,0)/10000</f>
        <v>1.1294</v>
      </c>
      <c r="F7" s="92">
        <f ca="1">VLOOKUP("销售费用*",INDIRECT("is_Q"&amp;(IF(RPTYPE=1,5,RPTYPE)-1),TRUE),3,0)/10000</f>
        <v>0.97760000000000002</v>
      </c>
      <c r="G7" s="92">
        <f ca="1">C7-E7</f>
        <v>1.4218000000000002</v>
      </c>
      <c r="H7" s="87">
        <f t="shared" ca="1" si="0"/>
        <v>1.1595000000000002</v>
      </c>
      <c r="I7" s="87">
        <f t="shared" ca="1" si="1"/>
        <v>0.26229999999999998</v>
      </c>
      <c r="J7" s="11">
        <f t="shared" ca="1" si="2"/>
        <v>0.22621819749892189</v>
      </c>
      <c r="K7" s="87">
        <f ca="1">G7-E7</f>
        <v>0.29240000000000022</v>
      </c>
      <c r="L7" s="97">
        <f t="shared" ca="1" si="3"/>
        <v>0.25889853019302306</v>
      </c>
      <c r="M7" s="87">
        <f t="shared" ca="1" si="4"/>
        <v>0.41409999999999991</v>
      </c>
      <c r="N7" s="11">
        <f t="shared" ca="1" si="5"/>
        <v>0.19376725469093625</v>
      </c>
    </row>
    <row r="8" spans="2:14" x14ac:dyDescent="0.3">
      <c r="B8" s="44" t="s">
        <v>776</v>
      </c>
      <c r="C8" s="92">
        <f ca="1">VLOOKUP("管理费用*",INDIRECT("is_Q"&amp;RPTYPE,TRUE),2,0)/10000</f>
        <v>0.43269999999999997</v>
      </c>
      <c r="D8" s="92">
        <f ca="1">VLOOKUP("管理费用*",INDIRECT("is_Q"&amp;RPTYPE,TRUE),3,0)/10000</f>
        <v>0.37059999999999998</v>
      </c>
      <c r="E8" s="92">
        <f ca="1">VLOOKUP("管理费用*",INDIRECT("is_Q"&amp;(IF(RPTYPE=1,5,RPTYPE)-1),TRUE),2,0)/10000</f>
        <v>0.19950000000000001</v>
      </c>
      <c r="F8" s="92">
        <f ca="1">VLOOKUP("管理费用*",INDIRECT("is_Q"&amp;(IF(RPTYPE=1,5,RPTYPE)-1),TRUE),3,0)/10000</f>
        <v>0.1794</v>
      </c>
      <c r="G8" s="92">
        <f ca="1">C8-E8</f>
        <v>0.23319999999999996</v>
      </c>
      <c r="H8" s="87">
        <f t="shared" ca="1" si="0"/>
        <v>0.19119999999999998</v>
      </c>
      <c r="I8" s="87">
        <f t="shared" ca="1" si="1"/>
        <v>4.1999999999999982E-2</v>
      </c>
      <c r="J8" s="11">
        <f t="shared" ca="1" si="2"/>
        <v>0.21966527196652713</v>
      </c>
      <c r="K8" s="87">
        <f ca="1">G8-E8</f>
        <v>3.3699999999999952E-2</v>
      </c>
      <c r="L8" s="97">
        <f t="shared" ca="1" si="3"/>
        <v>0.16892230576441078</v>
      </c>
      <c r="M8" s="87">
        <f t="shared" ca="1" si="4"/>
        <v>6.2099999999999989E-2</v>
      </c>
      <c r="N8" s="11">
        <f t="shared" ca="1" si="5"/>
        <v>0.16756610901241228</v>
      </c>
    </row>
    <row r="9" spans="2:14" x14ac:dyDescent="0.3">
      <c r="B9" s="44" t="s">
        <v>777</v>
      </c>
      <c r="C9" s="92">
        <f ca="1">VLOOKUP("财务费用*",INDIRECT("is_Q"&amp;RPTYPE,TRUE),2,0)/10000</f>
        <v>-7.1000000000000004E-3</v>
      </c>
      <c r="D9" s="92">
        <f ca="1">VLOOKUP("财务费用*",INDIRECT("is_Q"&amp;RPTYPE,TRUE),3,0)/10000</f>
        <v>-3.44E-2</v>
      </c>
      <c r="E9" s="92">
        <f ca="1">VLOOKUP("财务费用*",INDIRECT("is_Q"&amp;(IF(RPTYPE=1,5,RPTYPE)-1),TRUE),2,0)/10000</f>
        <v>-8.8000000000000005E-3</v>
      </c>
      <c r="F9" s="92">
        <f ca="1">VLOOKUP("财务费用*",INDIRECT("is_Q"&amp;(IF(RPTYPE=1,5,RPTYPE)-1),TRUE),3,0)/10000</f>
        <v>-2.8899999999999999E-2</v>
      </c>
      <c r="G9" s="92">
        <f ca="1">C9-E9</f>
        <v>1.7000000000000001E-3</v>
      </c>
      <c r="H9" s="87">
        <f t="shared" ca="1" si="0"/>
        <v>-5.5000000000000014E-3</v>
      </c>
      <c r="I9" s="87">
        <f t="shared" ca="1" si="1"/>
        <v>7.2000000000000015E-3</v>
      </c>
      <c r="J9" s="11">
        <f t="shared" ca="1" si="2"/>
        <v>-1.3090909090909091</v>
      </c>
      <c r="K9" s="87">
        <f ca="1">G9-E9</f>
        <v>1.0500000000000001E-2</v>
      </c>
      <c r="L9" s="97">
        <f t="shared" ca="1" si="3"/>
        <v>-1.1931818181818181</v>
      </c>
      <c r="M9" s="87">
        <f t="shared" ca="1" si="4"/>
        <v>2.7299999999999998E-2</v>
      </c>
      <c r="N9" s="11">
        <f t="shared" ca="1" si="5"/>
        <v>-0.79360465116279066</v>
      </c>
    </row>
    <row r="10" spans="2:14" x14ac:dyDescent="0.3">
      <c r="B10" s="44" t="s">
        <v>778</v>
      </c>
      <c r="C10" s="92">
        <f ca="1">VLOOKUP("资产减值损失*",INDIRECT("is_Q"&amp;RPTYPE,TRUE),2,0)/10000</f>
        <v>-5.5300000000000002E-2</v>
      </c>
      <c r="D10" s="92">
        <f ca="1">VLOOKUP("资产减值损失*",INDIRECT("is_Q"&amp;RPTYPE,TRUE),3,0)/10000</f>
        <v>-2.4400000000000002E-2</v>
      </c>
      <c r="E10" s="92">
        <f ca="1">VLOOKUP("资产减值损失*",INDIRECT("is_Q"&amp;(IF(RPTYPE=1,5,RPTYPE)-1),TRUE),2,0)/10000</f>
        <v>-7.6600000000000001E-2</v>
      </c>
      <c r="F10" s="92">
        <f ca="1">VLOOKUP("资产减值损失*",INDIRECT("is_Q"&amp;(IF(RPTYPE=1,5,RPTYPE)-1),TRUE),3,0)/10000</f>
        <v>-2.3E-2</v>
      </c>
      <c r="G10" s="92">
        <f t="shared" ref="G10" ca="1" si="6">C10-E10</f>
        <v>2.1299999999999999E-2</v>
      </c>
      <c r="H10" s="87">
        <f t="shared" ref="H10" ca="1" si="7">D10-F10</f>
        <v>-1.4000000000000019E-3</v>
      </c>
      <c r="I10" s="87">
        <f t="shared" ref="I10" ca="1" si="8">G10-H10</f>
        <v>2.2700000000000001E-2</v>
      </c>
      <c r="J10" s="11">
        <f t="shared" ref="J10" ca="1" si="9">I10/H10</f>
        <v>-16.214285714285694</v>
      </c>
      <c r="K10" s="87">
        <f t="shared" ref="K10" ca="1" si="10">G10-E10</f>
        <v>9.7900000000000001E-2</v>
      </c>
      <c r="L10" s="97">
        <f t="shared" ca="1" si="3"/>
        <v>-1.2780678851174934</v>
      </c>
      <c r="M10" s="87">
        <f t="shared" ref="M10" ca="1" si="11">C10-D10</f>
        <v>-3.09E-2</v>
      </c>
      <c r="N10" s="11">
        <f t="shared" ref="N10" ca="1" si="12">M10/D10</f>
        <v>1.2663934426229508</v>
      </c>
    </row>
    <row r="11" spans="2:14" x14ac:dyDescent="0.3">
      <c r="B11" s="44" t="s">
        <v>772</v>
      </c>
      <c r="C11" s="92">
        <f ca="1">VLOOKUP("投资收益*",INDIRECT("is_Q"&amp;RPTYPE,TRUE),2,0)/10000</f>
        <v>0.13270000000000001</v>
      </c>
      <c r="D11" s="92">
        <f ca="1">VLOOKUP("投资收益*",INDIRECT("is_Q"&amp;RPTYPE,TRUE),3,0)/10000</f>
        <v>0.1258</v>
      </c>
      <c r="E11" s="92">
        <f ca="1">VLOOKUP("投资收益*",INDIRECT("is_Q"&amp;(IF(RPTYPE=1,5,RPTYPE)-1),TRUE),2,0)/10000</f>
        <v>0.1285</v>
      </c>
      <c r="F11" s="92">
        <f ca="1">VLOOKUP("投资收益*",INDIRECT("is_Q"&amp;(IF(RPTYPE=1,5,RPTYPE)-1),TRUE),3,0)/10000</f>
        <v>7.4999999999999997E-2</v>
      </c>
      <c r="G11" s="92">
        <f t="shared" ref="G11" ca="1" si="13">C11-E11</f>
        <v>4.2000000000000093E-3</v>
      </c>
      <c r="H11" s="87">
        <f t="shared" ref="H11" ca="1" si="14">D11-F11</f>
        <v>5.0799999999999998E-2</v>
      </c>
      <c r="I11" s="87">
        <f t="shared" ref="I11" ca="1" si="15">G11-H11</f>
        <v>-4.6599999999999989E-2</v>
      </c>
      <c r="J11" s="11">
        <f t="shared" ref="J11" ca="1" si="16">I11/H11</f>
        <v>-0.91732283464566911</v>
      </c>
      <c r="K11" s="87">
        <f t="shared" ref="K11" ca="1" si="17">G11-E11</f>
        <v>-0.12429999999999999</v>
      </c>
      <c r="L11" s="97">
        <f t="shared" ca="1" si="3"/>
        <v>-0.96731517509727616</v>
      </c>
      <c r="M11" s="87">
        <f t="shared" ref="M11" ca="1" si="18">C11-D11</f>
        <v>6.9000000000000172E-3</v>
      </c>
      <c r="N11" s="11">
        <f t="shared" ref="N11" ca="1" si="19">M11/D11</f>
        <v>5.4848966613672633E-2</v>
      </c>
    </row>
    <row r="12" spans="2:14" x14ac:dyDescent="0.3">
      <c r="B12" s="88" t="s">
        <v>779</v>
      </c>
      <c r="C12" s="95">
        <f ca="1">VLOOKUP("营业利润*",INDIRECT("is_Q"&amp;RPTYPE,TRUE),2,0)/10000</f>
        <v>1.9249000000000001</v>
      </c>
      <c r="D12" s="95">
        <f ca="1">VLOOKUP("营业利润*",INDIRECT("is_Q"&amp;RPTYPE,TRUE),3,0)/10000</f>
        <v>2.0992999999999999</v>
      </c>
      <c r="E12" s="95">
        <f ca="1">VLOOKUP("营业利润*",INDIRECT("is_Q"&amp;(IF(RPTYPE=1,5,RPTYPE)-1),TRUE),2,0)/10000</f>
        <v>1.0073000000000001</v>
      </c>
      <c r="F12" s="95">
        <f ca="1">VLOOKUP("营业利润*",INDIRECT("is_Q"&amp;(IF(RPTYPE=1,5,RPTYPE)-1),TRUE),3,0)/10000</f>
        <v>1.1216999999999999</v>
      </c>
      <c r="G12" s="95">
        <f ca="1">C12-E12</f>
        <v>0.91759999999999997</v>
      </c>
      <c r="H12" s="94">
        <f t="shared" ref="H12" ca="1" si="20">D12-F12</f>
        <v>0.97760000000000002</v>
      </c>
      <c r="I12" s="94">
        <f t="shared" ca="1" si="1"/>
        <v>-6.0000000000000053E-2</v>
      </c>
      <c r="J12" s="97">
        <f t="shared" ca="1" si="2"/>
        <v>-6.1374795417348658E-2</v>
      </c>
      <c r="K12" s="94">
        <f ca="1">G12-E12</f>
        <v>-8.9700000000000113E-2</v>
      </c>
      <c r="L12" s="97">
        <f t="shared" ca="1" si="3"/>
        <v>-8.9049935471061353E-2</v>
      </c>
      <c r="M12" s="94">
        <f t="shared" ca="1" si="4"/>
        <v>-0.17439999999999989</v>
      </c>
      <c r="N12" s="97">
        <f t="shared" ca="1" si="5"/>
        <v>-8.3075310817891629E-2</v>
      </c>
    </row>
    <row r="13" spans="2:14" x14ac:dyDescent="0.3">
      <c r="B13" s="96" t="s">
        <v>780</v>
      </c>
      <c r="C13" s="95">
        <f ca="1">VLOOKUP("营业外收入*",INDIRECT("is_Q"&amp;RPTYPE,TRUE),2,0)/10000</f>
        <v>0.112</v>
      </c>
      <c r="D13" s="95">
        <f ca="1">VLOOKUP("营业外收入*",INDIRECT("is_Q"&amp;RPTYPE,TRUE),3,0)/10000</f>
        <v>7.3700000000000002E-2</v>
      </c>
      <c r="E13" s="95">
        <f ca="1">VLOOKUP("营业外收入*",INDIRECT("is_Q"&amp;(IF(RPTYPE=1,5,RPTYPE)-1),TRUE),2,0)/10000</f>
        <v>1.6199999999999999E-2</v>
      </c>
      <c r="F13" s="95">
        <f ca="1">VLOOKUP("营业外收入*",INDIRECT("is_Q"&amp;(IF(RPTYPE=1,5,RPTYPE)-1),TRUE),3,0)/10000</f>
        <v>1.47E-2</v>
      </c>
      <c r="G13" s="95">
        <f t="shared" ref="G13:G14" ca="1" si="21">C13-E13</f>
        <v>9.5799999999999996E-2</v>
      </c>
      <c r="H13" s="94">
        <f t="shared" ref="H13:H14" ca="1" si="22">D13-F13</f>
        <v>5.9000000000000004E-2</v>
      </c>
      <c r="I13" s="94">
        <f t="shared" ref="I13:I14" ca="1" si="23">G13-H13</f>
        <v>3.6799999999999992E-2</v>
      </c>
      <c r="J13" s="97">
        <f t="shared" ref="J13:J14" ca="1" si="24">I13/H13</f>
        <v>0.62372881355932186</v>
      </c>
      <c r="K13" s="94">
        <f t="shared" ref="K13:K14" ca="1" si="25">G13-E13</f>
        <v>7.9600000000000004E-2</v>
      </c>
      <c r="L13" s="97">
        <f t="shared" ca="1" si="3"/>
        <v>4.9135802469135808</v>
      </c>
      <c r="M13" s="94">
        <f t="shared" ref="M13:M14" ca="1" si="26">C13-D13</f>
        <v>3.8300000000000001E-2</v>
      </c>
      <c r="N13" s="97">
        <f t="shared" ref="N13:N14" ca="1" si="27">M13/D13</f>
        <v>0.51967435549525098</v>
      </c>
    </row>
    <row r="14" spans="2:14" x14ac:dyDescent="0.3">
      <c r="B14" s="96" t="s">
        <v>781</v>
      </c>
      <c r="C14" s="95">
        <f ca="1">VLOOKUP("营业外支出*",INDIRECT("is_Q"&amp;RPTYPE,TRUE),2,0)/10000</f>
        <v>1.1900000000000001E-2</v>
      </c>
      <c r="D14" s="95">
        <f ca="1">VLOOKUP("营业外支出*",INDIRECT("is_Q"&amp;RPTYPE,TRUE),3,0)/10000</f>
        <v>2.0400000000000001E-2</v>
      </c>
      <c r="E14" s="95">
        <f ca="1">VLOOKUP("营业外支出*",INDIRECT("is_Q"&amp;(IF(RPTYPE=1,5,RPTYPE)-1),TRUE),2,0)/10000</f>
        <v>7.4999999999999997E-3</v>
      </c>
      <c r="F14" s="95">
        <f ca="1">VLOOKUP("营业外支出*",INDIRECT("is_Q"&amp;(IF(RPTYPE=1,5,RPTYPE)-1),TRUE),3,0)/10000</f>
        <v>5.9999999999999995E-4</v>
      </c>
      <c r="G14" s="95">
        <f t="shared" ca="1" si="21"/>
        <v>4.4000000000000011E-3</v>
      </c>
      <c r="H14" s="94">
        <f t="shared" ca="1" si="22"/>
        <v>1.9800000000000002E-2</v>
      </c>
      <c r="I14" s="94">
        <f t="shared" ca="1" si="23"/>
        <v>-1.54E-2</v>
      </c>
      <c r="J14" s="97">
        <f t="shared" ca="1" si="24"/>
        <v>-0.77777777777777779</v>
      </c>
      <c r="K14" s="94">
        <f t="shared" ca="1" si="25"/>
        <v>-3.0999999999999986E-3</v>
      </c>
      <c r="L14" s="97">
        <f t="shared" ca="1" si="3"/>
        <v>-0.41333333333333316</v>
      </c>
      <c r="M14" s="94">
        <f t="shared" ca="1" si="26"/>
        <v>-8.5000000000000006E-3</v>
      </c>
      <c r="N14" s="97">
        <f t="shared" ca="1" si="27"/>
        <v>-0.41666666666666669</v>
      </c>
    </row>
    <row r="15" spans="2:14" x14ac:dyDescent="0.3">
      <c r="B15" s="44" t="s">
        <v>782</v>
      </c>
      <c r="C15" s="92">
        <f ca="1">VLOOKUP("净利润*",INDIRECT("is_Q"&amp;RPTYPE,TRUE),2,0)/10000</f>
        <v>1.5859000000000001</v>
      </c>
      <c r="D15" s="92">
        <f ca="1">VLOOKUP("净利润*",INDIRECT("is_Q"&amp;RPTYPE,TRUE),3,0)/10000</f>
        <v>1.6936</v>
      </c>
      <c r="E15" s="92">
        <f ca="1">VLOOKUP("净利润*",INDIRECT("is_Q"&amp;(IF(RPTYPE=1,5,RPTYPE)-1),TRUE),2,0)/10000</f>
        <v>0.79310000000000003</v>
      </c>
      <c r="F15" s="92">
        <f ca="1">VLOOKUP("净利润*",INDIRECT("is_Q"&amp;(IF(RPTYPE=1,5,RPTYPE)-1),TRUE),3,0)/10000</f>
        <v>0.8851</v>
      </c>
      <c r="G15" s="92">
        <f ca="1">C15-E15</f>
        <v>0.79280000000000006</v>
      </c>
      <c r="H15" s="87">
        <f t="shared" ca="1" si="0"/>
        <v>0.8085</v>
      </c>
      <c r="I15" s="94">
        <f t="shared" ca="1" si="1"/>
        <v>-1.5699999999999936E-2</v>
      </c>
      <c r="J15" s="11">
        <f t="shared" ca="1" si="2"/>
        <v>-1.9418676561533624E-2</v>
      </c>
      <c r="K15" s="94">
        <f ca="1">G15-E15</f>
        <v>-2.9999999999996696E-4</v>
      </c>
      <c r="L15" s="97">
        <f t="shared" ca="1" si="3"/>
        <v>-3.7826251418480262E-4</v>
      </c>
      <c r="M15" s="94">
        <f t="shared" ca="1" si="4"/>
        <v>-0.10769999999999991</v>
      </c>
      <c r="N15" s="11">
        <f t="shared" ca="1" si="5"/>
        <v>-6.3592347661785495E-2</v>
      </c>
    </row>
    <row r="16" spans="2:14" x14ac:dyDescent="0.3">
      <c r="B16" s="44" t="s">
        <v>770</v>
      </c>
      <c r="C16" s="92">
        <f ca="1">VLOOKUP("归属于母公司所有者的净利润*",INDIRECT("is_Q"&amp;RPTYPE,TRUE),2,0)/10000</f>
        <v>1.5859000000000001</v>
      </c>
      <c r="D16" s="92">
        <f ca="1">VLOOKUP("归属于母公司所有者的净利润*",INDIRECT("is_Q"&amp;RPTYPE,TRUE),3,0)/10000</f>
        <v>1.6936</v>
      </c>
      <c r="E16" s="92">
        <f ca="1">VLOOKUP("归属于母公司所有者的净利润*",INDIRECT("is_Q"&amp;(IF(RPTYPE=1,5,RPTYPE)-1),TRUE),2,0)/10000</f>
        <v>0.79310000000000003</v>
      </c>
      <c r="F16" s="92">
        <f ca="1">VLOOKUP("归属于母公司所有者的净利润*",INDIRECT("is_Q"&amp;(IF(RPTYPE=1,5,RPTYPE)-1),TRUE),3,0)/10000</f>
        <v>0.8851</v>
      </c>
      <c r="G16" s="92">
        <f ca="1">C16-E16</f>
        <v>0.79280000000000006</v>
      </c>
      <c r="H16" s="87">
        <f t="shared" ref="H16" ca="1" si="28">D16-F16</f>
        <v>0.8085</v>
      </c>
      <c r="I16" s="94">
        <f t="shared" ref="I16" ca="1" si="29">G16-H16</f>
        <v>-1.5699999999999936E-2</v>
      </c>
      <c r="J16" s="11">
        <f t="shared" ref="J16" ca="1" si="30">I16/H16</f>
        <v>-1.9418676561533624E-2</v>
      </c>
      <c r="K16" s="94">
        <f ca="1">G16-E16</f>
        <v>-2.9999999999996696E-4</v>
      </c>
      <c r="L16" s="97">
        <f t="shared" ca="1" si="3"/>
        <v>-3.7826251418480262E-4</v>
      </c>
      <c r="M16" s="94">
        <f t="shared" ref="M16" ca="1" si="31">C16-D16</f>
        <v>-0.10769999999999991</v>
      </c>
      <c r="N16" s="11">
        <f t="shared" ref="N16" ca="1" si="32">M16/D16</f>
        <v>-6.3592347661785495E-2</v>
      </c>
    </row>
    <row r="17" spans="2:14" x14ac:dyDescent="0.3">
      <c r="B17" s="44" t="s">
        <v>771</v>
      </c>
      <c r="C17" s="92"/>
      <c r="D17" s="92"/>
      <c r="E17" s="92"/>
      <c r="F17" s="92"/>
      <c r="G17" s="92"/>
      <c r="H17" s="87"/>
      <c r="I17" s="94"/>
      <c r="J17" s="87"/>
      <c r="K17" s="94"/>
      <c r="L17" s="94"/>
      <c r="M17" s="94"/>
      <c r="N17" s="87"/>
    </row>
    <row r="18" spans="2:14" ht="60" customHeight="1" x14ac:dyDescent="0.3">
      <c r="B18" s="141" t="s">
        <v>783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</row>
    <row r="19" spans="2:14" x14ac:dyDescent="0.3"/>
    <row r="20" spans="2:14" x14ac:dyDescent="0.3"/>
    <row r="21" spans="2:14" x14ac:dyDescent="0.3"/>
    <row r="22" spans="2:14" hidden="1" x14ac:dyDescent="0.3"/>
    <row r="23" spans="2:14" x14ac:dyDescent="0.3"/>
  </sheetData>
  <mergeCells count="2">
    <mergeCell ref="B18:N18"/>
    <mergeCell ref="B2:N2"/>
  </mergeCells>
  <phoneticPr fontId="1" type="noConversion"/>
  <pageMargins left="0.7" right="0.7" top="0.75" bottom="0.75" header="0.3" footer="0.3"/>
  <ignoredErrors>
    <ignoredError sqref="K4 G4:H4" calculatedColumn="1"/>
    <ignoredError sqref="C10:F10 C13:G13" formula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0"/>
  <sheetViews>
    <sheetView showGridLines="0" topLeftCell="A14" zoomScale="96" zoomScaleNormal="96" workbookViewId="0">
      <selection activeCell="B30" sqref="B30"/>
    </sheetView>
  </sheetViews>
  <sheetFormatPr defaultColWidth="0" defaultRowHeight="13.5" zeroHeight="1" x14ac:dyDescent="0.3"/>
  <cols>
    <col min="1" max="1" width="9.06640625" customWidth="1"/>
    <col min="2" max="2" width="23.06640625" bestFit="1" customWidth="1"/>
    <col min="3" max="3" width="41.46484375" bestFit="1" customWidth="1"/>
    <col min="4" max="4" width="63.06640625" customWidth="1"/>
    <col min="5" max="5" width="9.06640625" customWidth="1"/>
    <col min="6" max="16384" width="9.06640625" hidden="1"/>
  </cols>
  <sheetData>
    <row r="1" spans="2:4" x14ac:dyDescent="0.3"/>
    <row r="2" spans="2:4" ht="20.2" customHeight="1" x14ac:dyDescent="0.3">
      <c r="B2" s="143" t="s">
        <v>343</v>
      </c>
      <c r="C2" s="143"/>
      <c r="D2" s="143"/>
    </row>
    <row r="3" spans="2:4" ht="20.2" customHeight="1" x14ac:dyDescent="0.3">
      <c r="B3" s="41" t="s">
        <v>298</v>
      </c>
      <c r="C3" s="41" t="s">
        <v>299</v>
      </c>
      <c r="D3" s="41" t="s">
        <v>300</v>
      </c>
    </row>
    <row r="4" spans="2:4" ht="20.2" customHeight="1" x14ac:dyDescent="0.3">
      <c r="B4" s="41" t="s">
        <v>301</v>
      </c>
      <c r="C4" s="41" t="s">
        <v>302</v>
      </c>
      <c r="D4" s="41" t="s">
        <v>303</v>
      </c>
    </row>
    <row r="5" spans="2:4" ht="20.2" customHeight="1" x14ac:dyDescent="0.3">
      <c r="B5" s="41" t="s">
        <v>304</v>
      </c>
      <c r="C5" s="41" t="s">
        <v>305</v>
      </c>
      <c r="D5" s="41" t="s">
        <v>306</v>
      </c>
    </row>
    <row r="6" spans="2:4" ht="20.2" customHeight="1" x14ac:dyDescent="0.3">
      <c r="B6" s="41" t="s">
        <v>307</v>
      </c>
      <c r="C6" s="41" t="s">
        <v>308</v>
      </c>
      <c r="D6" s="41" t="s">
        <v>309</v>
      </c>
    </row>
    <row r="7" spans="2:4" ht="20.2" customHeight="1" x14ac:dyDescent="0.3">
      <c r="B7" s="41" t="s">
        <v>310</v>
      </c>
      <c r="C7" s="41" t="s">
        <v>311</v>
      </c>
      <c r="D7" s="41" t="s">
        <v>315</v>
      </c>
    </row>
    <row r="8" spans="2:4" ht="20.2" customHeight="1" x14ac:dyDescent="0.3">
      <c r="B8" s="41" t="s">
        <v>312</v>
      </c>
      <c r="C8" s="41" t="s">
        <v>313</v>
      </c>
      <c r="D8" s="41" t="s">
        <v>314</v>
      </c>
    </row>
    <row r="9" spans="2:4" ht="20.2" customHeight="1" x14ac:dyDescent="0.3">
      <c r="B9" s="41" t="s">
        <v>316</v>
      </c>
      <c r="C9" s="41" t="s">
        <v>317</v>
      </c>
      <c r="D9" s="41" t="s">
        <v>318</v>
      </c>
    </row>
    <row r="10" spans="2:4" ht="20.2" customHeight="1" x14ac:dyDescent="0.3">
      <c r="B10" s="41" t="s">
        <v>319</v>
      </c>
      <c r="C10" s="41" t="s">
        <v>320</v>
      </c>
      <c r="D10" s="41"/>
    </row>
    <row r="11" spans="2:4" ht="20.2" customHeight="1" x14ac:dyDescent="0.3">
      <c r="B11" s="41" t="s">
        <v>321</v>
      </c>
      <c r="C11" s="41" t="s">
        <v>322</v>
      </c>
      <c r="D11" s="41" t="s">
        <v>323</v>
      </c>
    </row>
    <row r="12" spans="2:4" ht="20.2" customHeight="1" x14ac:dyDescent="0.3">
      <c r="B12" s="41" t="s">
        <v>324</v>
      </c>
      <c r="C12" s="41" t="s">
        <v>325</v>
      </c>
      <c r="D12" s="41"/>
    </row>
    <row r="13" spans="2:4" ht="20.2" customHeight="1" x14ac:dyDescent="0.3">
      <c r="B13" s="55" t="s">
        <v>642</v>
      </c>
      <c r="C13" s="55" t="s">
        <v>643</v>
      </c>
      <c r="D13" s="55" t="s">
        <v>644</v>
      </c>
    </row>
    <row r="14" spans="2:4" ht="20.2" customHeight="1" x14ac:dyDescent="0.3">
      <c r="B14" s="41" t="s">
        <v>326</v>
      </c>
      <c r="C14" s="41" t="s">
        <v>313</v>
      </c>
      <c r="D14" s="41" t="s">
        <v>327</v>
      </c>
    </row>
    <row r="15" spans="2:4" ht="20.2" customHeight="1" x14ac:dyDescent="0.3">
      <c r="B15" s="143" t="s">
        <v>328</v>
      </c>
      <c r="C15" s="143"/>
      <c r="D15" s="143"/>
    </row>
    <row r="16" spans="2:4" ht="20.2" customHeight="1" x14ac:dyDescent="0.3">
      <c r="B16" s="41" t="s">
        <v>329</v>
      </c>
      <c r="C16" s="41" t="s">
        <v>330</v>
      </c>
      <c r="D16" s="41"/>
    </row>
    <row r="17" spans="2:4" ht="20.2" customHeight="1" x14ac:dyDescent="0.3">
      <c r="B17" s="41" t="s">
        <v>331</v>
      </c>
      <c r="C17" s="107" t="s">
        <v>332</v>
      </c>
      <c r="D17" s="107"/>
    </row>
    <row r="18" spans="2:4" ht="20.2" customHeight="1" x14ac:dyDescent="0.3">
      <c r="B18" s="41" t="s">
        <v>333</v>
      </c>
      <c r="C18" s="107" t="s">
        <v>334</v>
      </c>
      <c r="D18" s="107"/>
    </row>
    <row r="19" spans="2:4" ht="20.2" customHeight="1" x14ac:dyDescent="0.3">
      <c r="B19" s="41" t="s">
        <v>335</v>
      </c>
      <c r="C19" s="107" t="s">
        <v>344</v>
      </c>
      <c r="D19" s="107"/>
    </row>
    <row r="20" spans="2:4" ht="20.2" customHeight="1" x14ac:dyDescent="0.3">
      <c r="B20" s="143" t="s">
        <v>342</v>
      </c>
      <c r="C20" s="143"/>
      <c r="D20" s="143"/>
    </row>
    <row r="21" spans="2:4" ht="20.2" customHeight="1" x14ac:dyDescent="0.3">
      <c r="B21" s="41" t="s">
        <v>336</v>
      </c>
      <c r="C21" s="41" t="s">
        <v>300</v>
      </c>
      <c r="D21" s="41"/>
    </row>
    <row r="22" spans="2:4" ht="20.2" customHeight="1" x14ac:dyDescent="0.3">
      <c r="B22" s="41" t="s">
        <v>337</v>
      </c>
      <c r="C22" s="107" t="s">
        <v>338</v>
      </c>
      <c r="D22" s="107"/>
    </row>
    <row r="23" spans="2:4" ht="20.2" customHeight="1" x14ac:dyDescent="0.3">
      <c r="B23" s="41" t="s">
        <v>339</v>
      </c>
      <c r="C23" s="107" t="s">
        <v>341</v>
      </c>
      <c r="D23" s="107"/>
    </row>
    <row r="24" spans="2:4" ht="20.2" customHeight="1" x14ac:dyDescent="0.3">
      <c r="B24" s="41" t="s">
        <v>340</v>
      </c>
      <c r="C24" s="107" t="s">
        <v>761</v>
      </c>
      <c r="D24" s="107"/>
    </row>
    <row r="25" spans="2:4" ht="20.2" customHeight="1" x14ac:dyDescent="0.3">
      <c r="B25" s="85" t="s">
        <v>762</v>
      </c>
      <c r="C25" s="98" t="s">
        <v>763</v>
      </c>
      <c r="D25" s="100"/>
    </row>
    <row r="26" spans="2:4" ht="20.2" customHeight="1" x14ac:dyDescent="0.3">
      <c r="B26" s="56" t="s">
        <v>759</v>
      </c>
      <c r="C26" s="98" t="s">
        <v>760</v>
      </c>
      <c r="D26" s="100"/>
    </row>
    <row r="27" spans="2:4" x14ac:dyDescent="0.3"/>
    <row r="28" spans="2:4" x14ac:dyDescent="0.3"/>
    <row r="29" spans="2:4" x14ac:dyDescent="0.3"/>
    <row r="30" spans="2:4" x14ac:dyDescent="0.3"/>
  </sheetData>
  <sheetProtection selectLockedCells="1" selectUnlockedCells="1"/>
  <mergeCells count="11">
    <mergeCell ref="C26:D26"/>
    <mergeCell ref="C25:D25"/>
    <mergeCell ref="C24:D24"/>
    <mergeCell ref="B2:D2"/>
    <mergeCell ref="C22:D22"/>
    <mergeCell ref="C23:D23"/>
    <mergeCell ref="C19:D19"/>
    <mergeCell ref="C18:D18"/>
    <mergeCell ref="C17:D17"/>
    <mergeCell ref="B20:D20"/>
    <mergeCell ref="B15:D1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54"/>
  <sheetViews>
    <sheetView showGridLines="0" topLeftCell="A43" zoomScaleNormal="100" workbookViewId="0">
      <selection activeCell="B54" sqref="B54"/>
    </sheetView>
  </sheetViews>
  <sheetFormatPr defaultColWidth="0" defaultRowHeight="13.5" zeroHeight="1" x14ac:dyDescent="0.3"/>
  <cols>
    <col min="1" max="1" width="9.796875" customWidth="1"/>
    <col min="2" max="2" width="60.33203125" bestFit="1" customWidth="1"/>
    <col min="3" max="5" width="11.59765625" bestFit="1" customWidth="1"/>
    <col min="6" max="6" width="11.06640625" bestFit="1" customWidth="1"/>
    <col min="7" max="7" width="9" customWidth="1"/>
    <col min="8" max="8" width="61" bestFit="1" customWidth="1"/>
    <col min="9" max="11" width="11.59765625" bestFit="1" customWidth="1"/>
    <col min="12" max="12" width="9" customWidth="1"/>
    <col min="13" max="13" width="61" bestFit="1" customWidth="1"/>
    <col min="14" max="14" width="9.46484375" bestFit="1" customWidth="1"/>
    <col min="15" max="16" width="11.59765625" bestFit="1" customWidth="1"/>
    <col min="17" max="17" width="10.46484375" customWidth="1"/>
    <col min="18" max="16384" width="9" hidden="1"/>
  </cols>
  <sheetData>
    <row r="1" spans="1:17" x14ac:dyDescent="0.3"/>
    <row r="2" spans="1:17" s="4" customFormat="1" ht="36" customHeight="1" x14ac:dyDescent="0.3">
      <c r="B2" s="146" t="s">
        <v>9</v>
      </c>
      <c r="C2" s="146"/>
      <c r="D2" s="146"/>
      <c r="E2" s="146"/>
      <c r="F2" s="3"/>
      <c r="G2" s="3"/>
      <c r="H2" s="144" t="s">
        <v>1</v>
      </c>
      <c r="I2" s="144"/>
      <c r="J2" s="144"/>
      <c r="K2" s="144"/>
      <c r="M2" s="144" t="s">
        <v>4</v>
      </c>
      <c r="N2" s="144"/>
      <c r="O2" s="144"/>
      <c r="P2" s="144"/>
      <c r="Q2" s="9"/>
    </row>
    <row r="3" spans="1:17" ht="20.25" customHeight="1" x14ac:dyDescent="0.3">
      <c r="A3" s="12" t="s">
        <v>12</v>
      </c>
      <c r="B3" s="1" t="s">
        <v>346</v>
      </c>
      <c r="C3" s="2">
        <v>42916</v>
      </c>
      <c r="D3" s="2">
        <v>42551</v>
      </c>
      <c r="E3" s="2">
        <v>42185</v>
      </c>
      <c r="F3" s="2">
        <v>41820</v>
      </c>
      <c r="H3" s="1" t="str">
        <f t="shared" ref="H3:H34" si="0">B3</f>
        <v>报告日期</v>
      </c>
      <c r="I3" s="2">
        <f>C3</f>
        <v>42916</v>
      </c>
      <c r="J3" s="2">
        <f>D3</f>
        <v>42551</v>
      </c>
      <c r="K3" s="2">
        <f>E3</f>
        <v>42185</v>
      </c>
      <c r="M3" s="1" t="str">
        <f>B3</f>
        <v>报告日期</v>
      </c>
      <c r="N3" s="7" t="s">
        <v>5</v>
      </c>
      <c r="O3" s="2">
        <f>C3</f>
        <v>42916</v>
      </c>
      <c r="P3" s="2">
        <f>D3</f>
        <v>42551</v>
      </c>
      <c r="Q3" s="10"/>
    </row>
    <row r="4" spans="1:17" ht="20.25" customHeight="1" x14ac:dyDescent="0.3">
      <c r="A4" s="12" t="s">
        <v>13</v>
      </c>
      <c r="B4" s="1" t="s">
        <v>347</v>
      </c>
      <c r="C4" s="1">
        <v>27073</v>
      </c>
      <c r="D4" s="1">
        <v>42762</v>
      </c>
      <c r="E4" s="1">
        <v>56251</v>
      </c>
      <c r="F4" s="23">
        <v>66512</v>
      </c>
      <c r="H4" s="1" t="str">
        <f t="shared" si="0"/>
        <v>货币资金(万元)</v>
      </c>
      <c r="I4" s="6">
        <f t="shared" ref="I4:I35" si="1">C4/C$111</f>
        <v>7.635144281749881E-2</v>
      </c>
      <c r="J4" s="6">
        <f t="shared" ref="J4:J35" si="2">D4/D$111</f>
        <v>0.14264698523892919</v>
      </c>
      <c r="K4" s="6">
        <f t="shared" ref="K4:K35" si="3">E4/E$111</f>
        <v>0.19933732591516354</v>
      </c>
      <c r="M4" s="1" t="str">
        <f t="shared" ref="M4:M34" si="4">B4</f>
        <v>货币资金(万元)</v>
      </c>
      <c r="N4" s="6">
        <f>IFERROR(POWER(C4/F4,1/3)-1,0)</f>
        <v>-0.25889662333318197</v>
      </c>
      <c r="O4" s="6">
        <f t="shared" ref="O4:O35" si="5">IFERROR((C4/D4)-1,0)</f>
        <v>-0.3668911650530845</v>
      </c>
      <c r="P4" s="6">
        <f t="shared" ref="P4:P35" si="6">IFERROR((D4/E4)-1,0)</f>
        <v>-0.23980018133010972</v>
      </c>
      <c r="Q4" s="11"/>
    </row>
    <row r="5" spans="1:17" ht="20.25" customHeight="1" x14ac:dyDescent="0.3">
      <c r="A5" s="12" t="s">
        <v>14</v>
      </c>
      <c r="B5" s="1" t="s">
        <v>348</v>
      </c>
      <c r="C5" s="1">
        <v>0</v>
      </c>
      <c r="D5" s="1">
        <v>0</v>
      </c>
      <c r="E5" s="1">
        <v>0</v>
      </c>
      <c r="F5" s="23">
        <v>0</v>
      </c>
      <c r="H5" s="1" t="str">
        <f t="shared" si="0"/>
        <v>结算备付金(万元)</v>
      </c>
      <c r="I5" s="6">
        <f t="shared" si="1"/>
        <v>0</v>
      </c>
      <c r="J5" s="6">
        <f t="shared" si="2"/>
        <v>0</v>
      </c>
      <c r="K5" s="6">
        <f t="shared" si="3"/>
        <v>0</v>
      </c>
      <c r="M5" s="1" t="str">
        <f t="shared" si="4"/>
        <v>结算备付金(万元)</v>
      </c>
      <c r="N5" s="6">
        <f t="shared" ref="N5:N68" si="7">IFERROR(POWER(C5/F5,1/3)-1,0)</f>
        <v>0</v>
      </c>
      <c r="O5" s="6">
        <f t="shared" si="5"/>
        <v>0</v>
      </c>
      <c r="P5" s="6">
        <f t="shared" si="6"/>
        <v>0</v>
      </c>
      <c r="Q5" s="11"/>
    </row>
    <row r="6" spans="1:17" ht="20.25" customHeight="1" x14ac:dyDescent="0.3">
      <c r="A6" s="12" t="s">
        <v>15</v>
      </c>
      <c r="B6" s="1" t="s">
        <v>349</v>
      </c>
      <c r="C6" s="1">
        <v>0</v>
      </c>
      <c r="D6" s="1">
        <v>0</v>
      </c>
      <c r="E6" s="1">
        <v>0</v>
      </c>
      <c r="F6" s="23">
        <v>0</v>
      </c>
      <c r="H6" s="1" t="str">
        <f t="shared" si="0"/>
        <v>拆出资金(万元)</v>
      </c>
      <c r="I6" s="6">
        <f t="shared" si="1"/>
        <v>0</v>
      </c>
      <c r="J6" s="6">
        <f t="shared" si="2"/>
        <v>0</v>
      </c>
      <c r="K6" s="6">
        <f t="shared" si="3"/>
        <v>0</v>
      </c>
      <c r="M6" s="1" t="str">
        <f t="shared" si="4"/>
        <v>拆出资金(万元)</v>
      </c>
      <c r="N6" s="6">
        <f t="shared" si="7"/>
        <v>0</v>
      </c>
      <c r="O6" s="6">
        <f t="shared" si="5"/>
        <v>0</v>
      </c>
      <c r="P6" s="6">
        <f t="shared" si="6"/>
        <v>0</v>
      </c>
      <c r="Q6" s="11"/>
    </row>
    <row r="7" spans="1:17" ht="20.25" customHeight="1" x14ac:dyDescent="0.3">
      <c r="A7" s="12" t="s">
        <v>16</v>
      </c>
      <c r="B7" s="1" t="s">
        <v>350</v>
      </c>
      <c r="C7" s="1">
        <v>0</v>
      </c>
      <c r="D7" s="1">
        <v>0</v>
      </c>
      <c r="E7" s="1">
        <v>0</v>
      </c>
      <c r="F7" s="23">
        <v>0</v>
      </c>
      <c r="H7" s="1" t="str">
        <f t="shared" si="0"/>
        <v>交易性金融资产(万元)</v>
      </c>
      <c r="I7" s="6">
        <f t="shared" si="1"/>
        <v>0</v>
      </c>
      <c r="J7" s="6">
        <f t="shared" si="2"/>
        <v>0</v>
      </c>
      <c r="K7" s="6">
        <f t="shared" si="3"/>
        <v>0</v>
      </c>
      <c r="M7" s="1" t="str">
        <f t="shared" si="4"/>
        <v>交易性金融资产(万元)</v>
      </c>
      <c r="N7" s="6">
        <f t="shared" si="7"/>
        <v>0</v>
      </c>
      <c r="O7" s="6">
        <f t="shared" si="5"/>
        <v>0</v>
      </c>
      <c r="P7" s="6">
        <f t="shared" si="6"/>
        <v>0</v>
      </c>
      <c r="Q7" s="11"/>
    </row>
    <row r="8" spans="1:17" ht="20.25" customHeight="1" x14ac:dyDescent="0.3">
      <c r="A8" s="12" t="s">
        <v>17</v>
      </c>
      <c r="B8" s="1" t="s">
        <v>351</v>
      </c>
      <c r="C8" s="1">
        <v>0</v>
      </c>
      <c r="D8" s="1">
        <v>0</v>
      </c>
      <c r="E8" s="1">
        <v>0</v>
      </c>
      <c r="F8" s="23">
        <v>0</v>
      </c>
      <c r="H8" s="1" t="str">
        <f t="shared" si="0"/>
        <v>衍生金融资产(万元)</v>
      </c>
      <c r="I8" s="6">
        <f t="shared" si="1"/>
        <v>0</v>
      </c>
      <c r="J8" s="6">
        <f t="shared" si="2"/>
        <v>0</v>
      </c>
      <c r="K8" s="6">
        <f t="shared" si="3"/>
        <v>0</v>
      </c>
      <c r="M8" s="1" t="str">
        <f t="shared" si="4"/>
        <v>衍生金融资产(万元)</v>
      </c>
      <c r="N8" s="6">
        <f t="shared" si="7"/>
        <v>0</v>
      </c>
      <c r="O8" s="6">
        <f t="shared" si="5"/>
        <v>0</v>
      </c>
      <c r="P8" s="6">
        <f t="shared" si="6"/>
        <v>0</v>
      </c>
      <c r="Q8" s="11"/>
    </row>
    <row r="9" spans="1:17" ht="20.25" customHeight="1" x14ac:dyDescent="0.3">
      <c r="A9" s="12" t="s">
        <v>18</v>
      </c>
      <c r="B9" s="1" t="s">
        <v>352</v>
      </c>
      <c r="C9" s="1">
        <v>0</v>
      </c>
      <c r="D9" s="1">
        <v>0</v>
      </c>
      <c r="E9" s="1">
        <v>316</v>
      </c>
      <c r="F9" s="23">
        <v>100</v>
      </c>
      <c r="H9" s="1" t="str">
        <f t="shared" si="0"/>
        <v>应收票据(万元)</v>
      </c>
      <c r="I9" s="6">
        <f t="shared" si="1"/>
        <v>0</v>
      </c>
      <c r="J9" s="6">
        <f t="shared" si="2"/>
        <v>0</v>
      </c>
      <c r="K9" s="6">
        <f t="shared" si="3"/>
        <v>1.1198128920231051E-3</v>
      </c>
      <c r="M9" s="1" t="str">
        <f t="shared" si="4"/>
        <v>应收票据(万元)</v>
      </c>
      <c r="N9" s="6">
        <f t="shared" si="7"/>
        <v>-1</v>
      </c>
      <c r="O9" s="6">
        <f t="shared" si="5"/>
        <v>0</v>
      </c>
      <c r="P9" s="6">
        <f t="shared" si="6"/>
        <v>-1</v>
      </c>
      <c r="Q9" s="11"/>
    </row>
    <row r="10" spans="1:17" ht="20.25" customHeight="1" x14ac:dyDescent="0.3">
      <c r="A10" s="12" t="s">
        <v>19</v>
      </c>
      <c r="B10" s="1" t="s">
        <v>353</v>
      </c>
      <c r="C10" s="1">
        <v>16786</v>
      </c>
      <c r="D10" s="1">
        <v>12162</v>
      </c>
      <c r="E10" s="1">
        <v>8635</v>
      </c>
      <c r="F10" s="23">
        <v>6027</v>
      </c>
      <c r="H10" s="1" t="str">
        <f t="shared" si="0"/>
        <v>应收账款(万元)</v>
      </c>
      <c r="I10" s="6">
        <f t="shared" si="1"/>
        <v>4.7339981499447237E-2</v>
      </c>
      <c r="J10" s="6">
        <f t="shared" si="2"/>
        <v>4.0570427820865652E-2</v>
      </c>
      <c r="K10" s="6">
        <f t="shared" si="3"/>
        <v>3.059995038803643E-2</v>
      </c>
      <c r="M10" s="1" t="str">
        <f t="shared" si="4"/>
        <v>应收账款(万元)</v>
      </c>
      <c r="N10" s="6">
        <f t="shared" si="7"/>
        <v>0.40696083752686896</v>
      </c>
      <c r="O10" s="6">
        <f t="shared" si="5"/>
        <v>0.38020062489722095</v>
      </c>
      <c r="P10" s="6">
        <f t="shared" si="6"/>
        <v>0.40845396641574983</v>
      </c>
      <c r="Q10" s="11"/>
    </row>
    <row r="11" spans="1:17" ht="20.25" customHeight="1" x14ac:dyDescent="0.3">
      <c r="A11" s="12" t="s">
        <v>20</v>
      </c>
      <c r="B11" s="1" t="s">
        <v>354</v>
      </c>
      <c r="C11" s="1">
        <v>9554</v>
      </c>
      <c r="D11" s="1">
        <v>2204</v>
      </c>
      <c r="E11" s="1">
        <v>2586</v>
      </c>
      <c r="F11" s="23">
        <v>4376</v>
      </c>
      <c r="H11" s="1" t="str">
        <f t="shared" si="0"/>
        <v>预付款项(万元)</v>
      </c>
      <c r="I11" s="6">
        <f t="shared" si="1"/>
        <v>2.6944250163571961E-2</v>
      </c>
      <c r="J11" s="6">
        <f t="shared" si="2"/>
        <v>7.3521808022683679E-3</v>
      </c>
      <c r="K11" s="6">
        <f t="shared" si="3"/>
        <v>9.1640384138346499E-3</v>
      </c>
      <c r="M11" s="1" t="str">
        <f t="shared" si="4"/>
        <v>预付款项(万元)</v>
      </c>
      <c r="N11" s="6">
        <f t="shared" si="7"/>
        <v>0.29728672655424115</v>
      </c>
      <c r="O11" s="6">
        <f t="shared" si="5"/>
        <v>3.3348457350272236</v>
      </c>
      <c r="P11" s="6">
        <f t="shared" si="6"/>
        <v>-0.14771848414539834</v>
      </c>
      <c r="Q11" s="11"/>
    </row>
    <row r="12" spans="1:17" ht="20.25" customHeight="1" x14ac:dyDescent="0.3">
      <c r="A12" s="12" t="s">
        <v>21</v>
      </c>
      <c r="B12" s="1" t="s">
        <v>355</v>
      </c>
      <c r="C12" s="1">
        <v>0</v>
      </c>
      <c r="D12" s="1">
        <v>0</v>
      </c>
      <c r="E12" s="1">
        <v>0</v>
      </c>
      <c r="F12" s="23">
        <v>0</v>
      </c>
      <c r="H12" s="1" t="str">
        <f t="shared" si="0"/>
        <v>应收保费(万元)</v>
      </c>
      <c r="I12" s="6">
        <f t="shared" si="1"/>
        <v>0</v>
      </c>
      <c r="J12" s="6">
        <f t="shared" si="2"/>
        <v>0</v>
      </c>
      <c r="K12" s="6">
        <f t="shared" si="3"/>
        <v>0</v>
      </c>
      <c r="M12" s="1" t="str">
        <f t="shared" si="4"/>
        <v>应收保费(万元)</v>
      </c>
      <c r="N12" s="6">
        <f>IFERROR(POWER(C12/F12,1/3)-1,0)</f>
        <v>0</v>
      </c>
      <c r="O12" s="6">
        <f t="shared" si="5"/>
        <v>0</v>
      </c>
      <c r="P12" s="6">
        <f t="shared" si="6"/>
        <v>0</v>
      </c>
      <c r="Q12" s="11"/>
    </row>
    <row r="13" spans="1:17" ht="20.25" customHeight="1" x14ac:dyDescent="0.3">
      <c r="A13" s="15" t="s">
        <v>22</v>
      </c>
      <c r="B13" s="1" t="s">
        <v>356</v>
      </c>
      <c r="C13" s="1">
        <v>0</v>
      </c>
      <c r="D13" s="1">
        <v>0</v>
      </c>
      <c r="E13" s="1">
        <v>0</v>
      </c>
      <c r="F13" s="23">
        <v>0</v>
      </c>
      <c r="H13" s="1" t="str">
        <f t="shared" si="0"/>
        <v>应收分保账款(万元)</v>
      </c>
      <c r="I13" s="6">
        <f t="shared" si="1"/>
        <v>0</v>
      </c>
      <c r="J13" s="6">
        <f t="shared" si="2"/>
        <v>0</v>
      </c>
      <c r="K13" s="6">
        <f t="shared" si="3"/>
        <v>0</v>
      </c>
      <c r="M13" s="1" t="str">
        <f t="shared" si="4"/>
        <v>应收分保账款(万元)</v>
      </c>
      <c r="N13" s="6">
        <f t="shared" si="7"/>
        <v>0</v>
      </c>
      <c r="O13" s="6">
        <f t="shared" si="5"/>
        <v>0</v>
      </c>
      <c r="P13" s="6">
        <f t="shared" si="6"/>
        <v>0</v>
      </c>
      <c r="Q13" s="11"/>
    </row>
    <row r="14" spans="1:17" ht="20.25" customHeight="1" x14ac:dyDescent="0.3">
      <c r="A14" s="15" t="s">
        <v>23</v>
      </c>
      <c r="B14" s="1" t="s">
        <v>357</v>
      </c>
      <c r="C14" s="1">
        <v>0</v>
      </c>
      <c r="D14" s="1">
        <v>0</v>
      </c>
      <c r="E14" s="1">
        <v>0</v>
      </c>
      <c r="F14" s="23">
        <v>0</v>
      </c>
      <c r="H14" s="1" t="str">
        <f t="shared" si="0"/>
        <v>应收分保合同准备金(万元)</v>
      </c>
      <c r="I14" s="6">
        <f t="shared" si="1"/>
        <v>0</v>
      </c>
      <c r="J14" s="6">
        <f t="shared" si="2"/>
        <v>0</v>
      </c>
      <c r="K14" s="6">
        <f t="shared" si="3"/>
        <v>0</v>
      </c>
      <c r="M14" s="1" t="str">
        <f t="shared" si="4"/>
        <v>应收分保合同准备金(万元)</v>
      </c>
      <c r="N14" s="6">
        <f t="shared" si="7"/>
        <v>0</v>
      </c>
      <c r="O14" s="6">
        <f t="shared" si="5"/>
        <v>0</v>
      </c>
      <c r="P14" s="6">
        <f t="shared" si="6"/>
        <v>0</v>
      </c>
      <c r="Q14" s="11"/>
    </row>
    <row r="15" spans="1:17" ht="20.25" customHeight="1" x14ac:dyDescent="0.3">
      <c r="A15" s="15" t="s">
        <v>24</v>
      </c>
      <c r="B15" s="1" t="s">
        <v>358</v>
      </c>
      <c r="C15" s="1">
        <v>995</v>
      </c>
      <c r="D15" s="1">
        <v>466</v>
      </c>
      <c r="E15" s="1">
        <v>807</v>
      </c>
      <c r="F15" s="23">
        <v>0</v>
      </c>
      <c r="H15" s="1" t="str">
        <f t="shared" si="0"/>
        <v>应收利息(万元)</v>
      </c>
      <c r="I15" s="6">
        <f t="shared" si="1"/>
        <v>2.8061051824109381E-3</v>
      </c>
      <c r="J15" s="6">
        <f t="shared" si="2"/>
        <v>1.5544992077391377E-3</v>
      </c>
      <c r="K15" s="6">
        <f t="shared" si="3"/>
        <v>2.8597753286792585E-3</v>
      </c>
      <c r="M15" s="1" t="str">
        <f t="shared" si="4"/>
        <v>应收利息(万元)</v>
      </c>
      <c r="N15" s="6">
        <f t="shared" si="7"/>
        <v>0</v>
      </c>
      <c r="O15" s="6">
        <f t="shared" si="5"/>
        <v>1.1351931330472103</v>
      </c>
      <c r="P15" s="6">
        <f t="shared" si="6"/>
        <v>-0.42255266418835191</v>
      </c>
      <c r="Q15" s="11"/>
    </row>
    <row r="16" spans="1:17" ht="20.25" customHeight="1" x14ac:dyDescent="0.3">
      <c r="A16" s="15" t="s">
        <v>25</v>
      </c>
      <c r="B16" s="1" t="s">
        <v>359</v>
      </c>
      <c r="C16" s="1">
        <v>0</v>
      </c>
      <c r="D16" s="1">
        <v>0</v>
      </c>
      <c r="E16" s="1">
        <v>0</v>
      </c>
      <c r="F16" s="23">
        <v>0</v>
      </c>
      <c r="H16" s="1" t="str">
        <f t="shared" si="0"/>
        <v>应收股利(万元)</v>
      </c>
      <c r="I16" s="6">
        <f t="shared" si="1"/>
        <v>0</v>
      </c>
      <c r="J16" s="6">
        <f t="shared" si="2"/>
        <v>0</v>
      </c>
      <c r="K16" s="6">
        <f t="shared" si="3"/>
        <v>0</v>
      </c>
      <c r="M16" s="1" t="str">
        <f t="shared" si="4"/>
        <v>应收股利(万元)</v>
      </c>
      <c r="N16" s="6">
        <f t="shared" si="7"/>
        <v>0</v>
      </c>
      <c r="O16" s="6">
        <f t="shared" si="5"/>
        <v>0</v>
      </c>
      <c r="P16" s="6">
        <f t="shared" si="6"/>
        <v>0</v>
      </c>
      <c r="Q16" s="11"/>
    </row>
    <row r="17" spans="1:17" ht="20.25" customHeight="1" x14ac:dyDescent="0.3">
      <c r="A17" s="15" t="s">
        <v>26</v>
      </c>
      <c r="B17" s="1" t="s">
        <v>360</v>
      </c>
      <c r="C17" s="1">
        <v>10766</v>
      </c>
      <c r="D17" s="1">
        <v>4018</v>
      </c>
      <c r="E17" s="1">
        <v>2515</v>
      </c>
      <c r="F17" s="23">
        <v>2198</v>
      </c>
      <c r="H17" s="1" t="str">
        <f t="shared" si="0"/>
        <v>其他应收款(万元)</v>
      </c>
      <c r="I17" s="6">
        <f t="shared" si="1"/>
        <v>3.0362340094307695E-2</v>
      </c>
      <c r="J17" s="6">
        <f t="shared" si="2"/>
        <v>1.3403385872737887E-2</v>
      </c>
      <c r="K17" s="6">
        <f t="shared" si="3"/>
        <v>8.9124348842978141E-3</v>
      </c>
      <c r="M17" s="1" t="str">
        <f t="shared" si="4"/>
        <v>其他应收款(万元)</v>
      </c>
      <c r="N17" s="6">
        <f t="shared" si="7"/>
        <v>0.69827843850398152</v>
      </c>
      <c r="O17" s="6">
        <f t="shared" si="5"/>
        <v>1.6794425087108014</v>
      </c>
      <c r="P17" s="6">
        <f t="shared" si="6"/>
        <v>0.59761431411530808</v>
      </c>
      <c r="Q17" s="11"/>
    </row>
    <row r="18" spans="1:17" ht="20.25" customHeight="1" x14ac:dyDescent="0.3">
      <c r="A18" s="15" t="s">
        <v>27</v>
      </c>
      <c r="B18" s="1" t="s">
        <v>361</v>
      </c>
      <c r="C18" s="1">
        <v>0</v>
      </c>
      <c r="D18" s="1">
        <v>0</v>
      </c>
      <c r="E18" s="1">
        <v>0</v>
      </c>
      <c r="F18" s="23">
        <v>0</v>
      </c>
      <c r="H18" s="1" t="str">
        <f t="shared" si="0"/>
        <v>应收出口退税(万元)</v>
      </c>
      <c r="I18" s="6">
        <f t="shared" si="1"/>
        <v>0</v>
      </c>
      <c r="J18" s="6">
        <f t="shared" si="2"/>
        <v>0</v>
      </c>
      <c r="K18" s="6">
        <f t="shared" si="3"/>
        <v>0</v>
      </c>
      <c r="M18" s="1" t="str">
        <f t="shared" si="4"/>
        <v>应收出口退税(万元)</v>
      </c>
      <c r="N18" s="6">
        <f t="shared" si="7"/>
        <v>0</v>
      </c>
      <c r="O18" s="6">
        <f t="shared" si="5"/>
        <v>0</v>
      </c>
      <c r="P18" s="6">
        <f t="shared" si="6"/>
        <v>0</v>
      </c>
      <c r="Q18" s="11"/>
    </row>
    <row r="19" spans="1:17" ht="20.25" customHeight="1" x14ac:dyDescent="0.3">
      <c r="A19" s="15" t="s">
        <v>28</v>
      </c>
      <c r="B19" s="1" t="s">
        <v>362</v>
      </c>
      <c r="C19" s="1">
        <v>0</v>
      </c>
      <c r="D19" s="1">
        <v>0</v>
      </c>
      <c r="E19" s="1">
        <v>0</v>
      </c>
      <c r="F19" s="23">
        <v>0</v>
      </c>
      <c r="H19" s="1" t="str">
        <f t="shared" si="0"/>
        <v>应收补贴款(万元)</v>
      </c>
      <c r="I19" s="6">
        <f t="shared" si="1"/>
        <v>0</v>
      </c>
      <c r="J19" s="6">
        <f t="shared" si="2"/>
        <v>0</v>
      </c>
      <c r="K19" s="6">
        <f t="shared" si="3"/>
        <v>0</v>
      </c>
      <c r="M19" s="1" t="str">
        <f t="shared" si="4"/>
        <v>应收补贴款(万元)</v>
      </c>
      <c r="N19" s="6">
        <f t="shared" si="7"/>
        <v>0</v>
      </c>
      <c r="O19" s="6">
        <f t="shared" si="5"/>
        <v>0</v>
      </c>
      <c r="P19" s="6">
        <f t="shared" si="6"/>
        <v>0</v>
      </c>
      <c r="Q19" s="11"/>
    </row>
    <row r="20" spans="1:17" ht="20.25" customHeight="1" x14ac:dyDescent="0.3">
      <c r="A20" s="15" t="s">
        <v>29</v>
      </c>
      <c r="B20" s="1" t="s">
        <v>363</v>
      </c>
      <c r="C20" s="1">
        <v>0</v>
      </c>
      <c r="D20" s="1">
        <v>0</v>
      </c>
      <c r="E20" s="1">
        <v>0</v>
      </c>
      <c r="F20" s="23">
        <v>0</v>
      </c>
      <c r="H20" s="1" t="str">
        <f t="shared" si="0"/>
        <v>应收保证金(万元)</v>
      </c>
      <c r="I20" s="6">
        <f t="shared" si="1"/>
        <v>0</v>
      </c>
      <c r="J20" s="6">
        <f t="shared" si="2"/>
        <v>0</v>
      </c>
      <c r="K20" s="6">
        <f t="shared" si="3"/>
        <v>0</v>
      </c>
      <c r="M20" s="1" t="str">
        <f t="shared" si="4"/>
        <v>应收保证金(万元)</v>
      </c>
      <c r="N20" s="6">
        <f t="shared" si="7"/>
        <v>0</v>
      </c>
      <c r="O20" s="6">
        <f t="shared" si="5"/>
        <v>0</v>
      </c>
      <c r="P20" s="6">
        <f t="shared" si="6"/>
        <v>0</v>
      </c>
      <c r="Q20" s="11"/>
    </row>
    <row r="21" spans="1:17" ht="20.25" customHeight="1" x14ac:dyDescent="0.3">
      <c r="A21" s="15" t="s">
        <v>30</v>
      </c>
      <c r="B21" s="1" t="s">
        <v>364</v>
      </c>
      <c r="C21" s="1">
        <v>0</v>
      </c>
      <c r="D21" s="1">
        <v>0</v>
      </c>
      <c r="E21" s="1">
        <v>0</v>
      </c>
      <c r="F21" s="23">
        <v>0</v>
      </c>
      <c r="H21" s="1" t="str">
        <f t="shared" si="0"/>
        <v>内部应收款(万元)</v>
      </c>
      <c r="I21" s="6">
        <f t="shared" si="1"/>
        <v>0</v>
      </c>
      <c r="J21" s="6">
        <f t="shared" si="2"/>
        <v>0</v>
      </c>
      <c r="K21" s="6">
        <f t="shared" si="3"/>
        <v>0</v>
      </c>
      <c r="M21" s="1" t="str">
        <f t="shared" si="4"/>
        <v>内部应收款(万元)</v>
      </c>
      <c r="N21" s="6">
        <f t="shared" si="7"/>
        <v>0</v>
      </c>
      <c r="O21" s="6">
        <f t="shared" si="5"/>
        <v>0</v>
      </c>
      <c r="P21" s="6">
        <f t="shared" si="6"/>
        <v>0</v>
      </c>
      <c r="Q21" s="11"/>
    </row>
    <row r="22" spans="1:17" ht="20.25" customHeight="1" x14ac:dyDescent="0.3">
      <c r="A22" s="15" t="s">
        <v>31</v>
      </c>
      <c r="B22" s="1" t="s">
        <v>365</v>
      </c>
      <c r="C22" s="1">
        <v>0</v>
      </c>
      <c r="D22" s="1">
        <v>0</v>
      </c>
      <c r="E22" s="1">
        <v>0</v>
      </c>
      <c r="F22" s="23">
        <v>0</v>
      </c>
      <c r="H22" s="1" t="str">
        <f t="shared" si="0"/>
        <v>买入返售金融资产(万元)</v>
      </c>
      <c r="I22" s="6">
        <f t="shared" si="1"/>
        <v>0</v>
      </c>
      <c r="J22" s="6">
        <f t="shared" si="2"/>
        <v>0</v>
      </c>
      <c r="K22" s="6">
        <f t="shared" si="3"/>
        <v>0</v>
      </c>
      <c r="M22" s="1" t="str">
        <f t="shared" si="4"/>
        <v>买入返售金融资产(万元)</v>
      </c>
      <c r="N22" s="6">
        <f t="shared" si="7"/>
        <v>0</v>
      </c>
      <c r="O22" s="6">
        <f t="shared" si="5"/>
        <v>0</v>
      </c>
      <c r="P22" s="6">
        <f t="shared" si="6"/>
        <v>0</v>
      </c>
      <c r="Q22" s="11"/>
    </row>
    <row r="23" spans="1:17" ht="20.25" customHeight="1" x14ac:dyDescent="0.3">
      <c r="A23" s="15" t="s">
        <v>32</v>
      </c>
      <c r="B23" s="1" t="s">
        <v>366</v>
      </c>
      <c r="C23" s="1">
        <v>77465</v>
      </c>
      <c r="D23" s="1">
        <v>58793</v>
      </c>
      <c r="E23" s="1">
        <v>61920</v>
      </c>
      <c r="F23" s="23">
        <v>52536</v>
      </c>
      <c r="H23" s="1" t="str">
        <f t="shared" si="0"/>
        <v>存货(万元)</v>
      </c>
      <c r="I23" s="6">
        <f t="shared" si="1"/>
        <v>0.21846727432709881</v>
      </c>
      <c r="J23" s="6">
        <f t="shared" si="2"/>
        <v>0.19612375948628138</v>
      </c>
      <c r="K23" s="6">
        <f t="shared" si="3"/>
        <v>0.21942662744959071</v>
      </c>
      <c r="M23" s="1" t="str">
        <f t="shared" si="4"/>
        <v>存货(万元)</v>
      </c>
      <c r="N23" s="6">
        <f t="shared" si="7"/>
        <v>0.13819369097447742</v>
      </c>
      <c r="O23" s="6">
        <f t="shared" si="5"/>
        <v>0.31758882860204452</v>
      </c>
      <c r="P23" s="6">
        <f t="shared" si="6"/>
        <v>-5.0500645994832061E-2</v>
      </c>
      <c r="Q23" s="11"/>
    </row>
    <row r="24" spans="1:17" ht="20.25" customHeight="1" x14ac:dyDescent="0.3">
      <c r="A24" s="15" t="s">
        <v>33</v>
      </c>
      <c r="B24" s="1" t="s">
        <v>367</v>
      </c>
      <c r="C24" s="1">
        <v>0</v>
      </c>
      <c r="D24" s="1">
        <v>0</v>
      </c>
      <c r="E24" s="1">
        <v>0</v>
      </c>
      <c r="F24" s="23">
        <v>0</v>
      </c>
      <c r="H24" s="1" t="str">
        <f t="shared" si="0"/>
        <v>待摊费用(万元)</v>
      </c>
      <c r="I24" s="6">
        <f t="shared" si="1"/>
        <v>0</v>
      </c>
      <c r="J24" s="6">
        <f t="shared" si="2"/>
        <v>0</v>
      </c>
      <c r="K24" s="6">
        <f t="shared" si="3"/>
        <v>0</v>
      </c>
      <c r="M24" s="1" t="str">
        <f t="shared" si="4"/>
        <v>待摊费用(万元)</v>
      </c>
      <c r="N24" s="6">
        <f t="shared" si="7"/>
        <v>0</v>
      </c>
      <c r="O24" s="6">
        <f t="shared" si="5"/>
        <v>0</v>
      </c>
      <c r="P24" s="6">
        <f t="shared" si="6"/>
        <v>0</v>
      </c>
      <c r="Q24" s="11"/>
    </row>
    <row r="25" spans="1:17" ht="20.25" customHeight="1" x14ac:dyDescent="0.3">
      <c r="A25" s="15" t="s">
        <v>34</v>
      </c>
      <c r="B25" s="1" t="s">
        <v>368</v>
      </c>
      <c r="C25" s="1">
        <v>0</v>
      </c>
      <c r="D25" s="1">
        <v>0</v>
      </c>
      <c r="E25" s="1">
        <v>0</v>
      </c>
      <c r="F25" s="23">
        <v>0</v>
      </c>
      <c r="H25" s="1" t="str">
        <f t="shared" si="0"/>
        <v>待处理流动资产损益(万元)</v>
      </c>
      <c r="I25" s="6">
        <f t="shared" si="1"/>
        <v>0</v>
      </c>
      <c r="J25" s="6">
        <f t="shared" si="2"/>
        <v>0</v>
      </c>
      <c r="K25" s="6">
        <f t="shared" si="3"/>
        <v>0</v>
      </c>
      <c r="M25" s="1" t="str">
        <f t="shared" si="4"/>
        <v>待处理流动资产损益(万元)</v>
      </c>
      <c r="N25" s="6">
        <f t="shared" si="7"/>
        <v>0</v>
      </c>
      <c r="O25" s="6">
        <f t="shared" si="5"/>
        <v>0</v>
      </c>
      <c r="P25" s="6">
        <f t="shared" si="6"/>
        <v>0</v>
      </c>
      <c r="Q25" s="11"/>
    </row>
    <row r="26" spans="1:17" ht="20.25" customHeight="1" x14ac:dyDescent="0.3">
      <c r="A26" s="15" t="s">
        <v>35</v>
      </c>
      <c r="B26" s="1" t="s">
        <v>369</v>
      </c>
      <c r="C26" s="1">
        <v>0</v>
      </c>
      <c r="D26" s="1">
        <v>0</v>
      </c>
      <c r="E26" s="1">
        <v>0</v>
      </c>
      <c r="F26" s="23">
        <v>0</v>
      </c>
      <c r="H26" s="1" t="str">
        <f t="shared" si="0"/>
        <v>一年内到期的非流动资产(万元)</v>
      </c>
      <c r="I26" s="6">
        <f t="shared" si="1"/>
        <v>0</v>
      </c>
      <c r="J26" s="6">
        <f t="shared" si="2"/>
        <v>0</v>
      </c>
      <c r="K26" s="6">
        <f t="shared" si="3"/>
        <v>0</v>
      </c>
      <c r="M26" s="1" t="str">
        <f t="shared" si="4"/>
        <v>一年内到期的非流动资产(万元)</v>
      </c>
      <c r="N26" s="6">
        <f t="shared" si="7"/>
        <v>0</v>
      </c>
      <c r="O26" s="6">
        <f t="shared" si="5"/>
        <v>0</v>
      </c>
      <c r="P26" s="6">
        <f t="shared" si="6"/>
        <v>0</v>
      </c>
      <c r="Q26" s="11"/>
    </row>
    <row r="27" spans="1:17" ht="20.25" customHeight="1" x14ac:dyDescent="0.3">
      <c r="A27" s="15" t="s">
        <v>36</v>
      </c>
      <c r="B27" s="1" t="s">
        <v>370</v>
      </c>
      <c r="C27" s="1">
        <v>62540</v>
      </c>
      <c r="D27" s="1">
        <v>57871</v>
      </c>
      <c r="E27" s="1">
        <v>41403</v>
      </c>
      <c r="F27" s="23">
        <v>35494</v>
      </c>
      <c r="H27" s="1" t="str">
        <f t="shared" si="0"/>
        <v>其他流动资产(万元)</v>
      </c>
      <c r="I27" s="6">
        <f t="shared" si="1"/>
        <v>0.17637569659093472</v>
      </c>
      <c r="J27" s="6">
        <f t="shared" si="2"/>
        <v>0.19304811942290051</v>
      </c>
      <c r="K27" s="6">
        <f t="shared" si="3"/>
        <v>0.14672029483681207</v>
      </c>
      <c r="M27" s="1" t="str">
        <f t="shared" si="4"/>
        <v>其他流动资产(万元)</v>
      </c>
      <c r="N27" s="6">
        <f t="shared" si="7"/>
        <v>0.20781655310999292</v>
      </c>
      <c r="O27" s="6">
        <f t="shared" si="5"/>
        <v>8.0679442207668872E-2</v>
      </c>
      <c r="P27" s="6">
        <f t="shared" si="6"/>
        <v>0.397748955389706</v>
      </c>
      <c r="Q27" s="11"/>
    </row>
    <row r="28" spans="1:17" ht="20.25" customHeight="1" x14ac:dyDescent="0.3">
      <c r="A28" s="15" t="s">
        <v>37</v>
      </c>
      <c r="B28" s="1" t="s">
        <v>371</v>
      </c>
      <c r="C28" s="1">
        <v>205178</v>
      </c>
      <c r="D28" s="1">
        <v>178276</v>
      </c>
      <c r="E28" s="1">
        <v>174434</v>
      </c>
      <c r="F28" s="23">
        <v>167244</v>
      </c>
      <c r="H28" s="1" t="str">
        <f t="shared" si="0"/>
        <v>流动资产合计(万元)</v>
      </c>
      <c r="I28" s="6">
        <f t="shared" si="1"/>
        <v>0.57864427046905664</v>
      </c>
      <c r="J28" s="6">
        <f t="shared" si="2"/>
        <v>0.59469935785172212</v>
      </c>
      <c r="K28" s="6">
        <f t="shared" si="3"/>
        <v>0.61814380382012124</v>
      </c>
      <c r="M28" s="1" t="str">
        <f t="shared" si="4"/>
        <v>流动资产合计(万元)</v>
      </c>
      <c r="N28" s="6">
        <f t="shared" si="7"/>
        <v>7.0516622854893019E-2</v>
      </c>
      <c r="O28" s="6">
        <f t="shared" si="5"/>
        <v>0.15090085036684697</v>
      </c>
      <c r="P28" s="6">
        <f t="shared" si="6"/>
        <v>2.2025522547209908E-2</v>
      </c>
      <c r="Q28" s="11"/>
    </row>
    <row r="29" spans="1:17" ht="20.25" customHeight="1" x14ac:dyDescent="0.3">
      <c r="A29" s="15" t="s">
        <v>38</v>
      </c>
      <c r="B29" s="1" t="s">
        <v>372</v>
      </c>
      <c r="C29" s="1">
        <v>0</v>
      </c>
      <c r="D29" s="1">
        <v>0</v>
      </c>
      <c r="E29" s="1">
        <v>0</v>
      </c>
      <c r="F29" s="23">
        <v>0</v>
      </c>
      <c r="H29" s="1" t="str">
        <f t="shared" si="0"/>
        <v>发放贷款及垫款(万元)</v>
      </c>
      <c r="I29" s="6">
        <f t="shared" si="1"/>
        <v>0</v>
      </c>
      <c r="J29" s="6">
        <f t="shared" si="2"/>
        <v>0</v>
      </c>
      <c r="K29" s="6">
        <f t="shared" si="3"/>
        <v>0</v>
      </c>
      <c r="M29" s="1" t="str">
        <f t="shared" si="4"/>
        <v>发放贷款及垫款(万元)</v>
      </c>
      <c r="N29" s="6">
        <f t="shared" si="7"/>
        <v>0</v>
      </c>
      <c r="O29" s="6">
        <f t="shared" si="5"/>
        <v>0</v>
      </c>
      <c r="P29" s="6">
        <f t="shared" si="6"/>
        <v>0</v>
      </c>
      <c r="Q29" s="11"/>
    </row>
    <row r="30" spans="1:17" ht="20.25" customHeight="1" x14ac:dyDescent="0.3">
      <c r="A30" s="15" t="s">
        <v>39</v>
      </c>
      <c r="B30" s="1" t="s">
        <v>373</v>
      </c>
      <c r="C30" s="1">
        <v>22450</v>
      </c>
      <c r="D30" s="1">
        <v>22450</v>
      </c>
      <c r="E30" s="1">
        <v>0</v>
      </c>
      <c r="F30" s="23">
        <v>0</v>
      </c>
      <c r="H30" s="1" t="str">
        <f t="shared" si="0"/>
        <v>可供出售金融资产(万元)</v>
      </c>
      <c r="I30" s="6">
        <f t="shared" si="1"/>
        <v>6.3313629492588494E-2</v>
      </c>
      <c r="J30" s="6">
        <f t="shared" si="2"/>
        <v>7.4889500458677344E-2</v>
      </c>
      <c r="K30" s="6">
        <f t="shared" si="3"/>
        <v>0</v>
      </c>
      <c r="M30" s="1" t="str">
        <f t="shared" si="4"/>
        <v>可供出售金融资产(万元)</v>
      </c>
      <c r="N30" s="6">
        <f t="shared" si="7"/>
        <v>0</v>
      </c>
      <c r="O30" s="6">
        <f t="shared" si="5"/>
        <v>0</v>
      </c>
      <c r="P30" s="6">
        <f t="shared" si="6"/>
        <v>0</v>
      </c>
      <c r="Q30" s="11"/>
    </row>
    <row r="31" spans="1:17" ht="20.25" customHeight="1" x14ac:dyDescent="0.3">
      <c r="A31" s="15" t="s">
        <v>40</v>
      </c>
      <c r="B31" s="1" t="s">
        <v>374</v>
      </c>
      <c r="C31" s="1">
        <v>0</v>
      </c>
      <c r="D31" s="1">
        <v>0</v>
      </c>
      <c r="E31" s="1">
        <v>0</v>
      </c>
      <c r="F31" s="23">
        <v>0</v>
      </c>
      <c r="H31" s="1" t="str">
        <f t="shared" si="0"/>
        <v>持有至到期投资(万元)</v>
      </c>
      <c r="I31" s="6">
        <f t="shared" si="1"/>
        <v>0</v>
      </c>
      <c r="J31" s="6">
        <f t="shared" si="2"/>
        <v>0</v>
      </c>
      <c r="K31" s="6">
        <f t="shared" si="3"/>
        <v>0</v>
      </c>
      <c r="M31" s="1" t="str">
        <f t="shared" si="4"/>
        <v>持有至到期投资(万元)</v>
      </c>
      <c r="N31" s="6">
        <f t="shared" si="7"/>
        <v>0</v>
      </c>
      <c r="O31" s="6">
        <f t="shared" si="5"/>
        <v>0</v>
      </c>
      <c r="P31" s="6">
        <f t="shared" si="6"/>
        <v>0</v>
      </c>
      <c r="Q31" s="11"/>
    </row>
    <row r="32" spans="1:17" ht="20.25" customHeight="1" x14ac:dyDescent="0.3">
      <c r="A32" s="15" t="s">
        <v>41</v>
      </c>
      <c r="B32" s="1" t="s">
        <v>375</v>
      </c>
      <c r="C32" s="1">
        <v>0</v>
      </c>
      <c r="D32" s="1">
        <v>0</v>
      </c>
      <c r="E32" s="1">
        <v>0</v>
      </c>
      <c r="F32" s="23">
        <v>0</v>
      </c>
      <c r="H32" s="1" t="str">
        <f t="shared" si="0"/>
        <v>长期应收款(万元)</v>
      </c>
      <c r="I32" s="6">
        <f t="shared" si="1"/>
        <v>0</v>
      </c>
      <c r="J32" s="6">
        <f t="shared" si="2"/>
        <v>0</v>
      </c>
      <c r="K32" s="6">
        <f t="shared" si="3"/>
        <v>0</v>
      </c>
      <c r="M32" s="1" t="str">
        <f t="shared" si="4"/>
        <v>长期应收款(万元)</v>
      </c>
      <c r="N32" s="6">
        <f t="shared" si="7"/>
        <v>0</v>
      </c>
      <c r="O32" s="6">
        <f t="shared" si="5"/>
        <v>0</v>
      </c>
      <c r="P32" s="6">
        <f t="shared" si="6"/>
        <v>0</v>
      </c>
      <c r="Q32" s="11"/>
    </row>
    <row r="33" spans="1:17" ht="20.25" customHeight="1" x14ac:dyDescent="0.3">
      <c r="A33" s="15" t="s">
        <v>42</v>
      </c>
      <c r="B33" s="1" t="s">
        <v>376</v>
      </c>
      <c r="C33" s="1">
        <v>0</v>
      </c>
      <c r="D33" s="1">
        <v>0</v>
      </c>
      <c r="E33" s="1">
        <v>22450</v>
      </c>
      <c r="F33" s="23">
        <v>0</v>
      </c>
      <c r="H33" s="1" t="str">
        <f t="shared" si="0"/>
        <v>长期股权投资(万元)</v>
      </c>
      <c r="I33" s="6">
        <f t="shared" si="1"/>
        <v>0</v>
      </c>
      <c r="J33" s="6">
        <f t="shared" si="2"/>
        <v>0</v>
      </c>
      <c r="K33" s="6">
        <f t="shared" si="3"/>
        <v>7.9556327297211099E-2</v>
      </c>
      <c r="M33" s="1" t="str">
        <f t="shared" si="4"/>
        <v>长期股权投资(万元)</v>
      </c>
      <c r="N33" s="6">
        <f t="shared" si="7"/>
        <v>0</v>
      </c>
      <c r="O33" s="6">
        <f t="shared" si="5"/>
        <v>0</v>
      </c>
      <c r="P33" s="6">
        <f t="shared" si="6"/>
        <v>-1</v>
      </c>
      <c r="Q33" s="11"/>
    </row>
    <row r="34" spans="1:17" ht="20.25" customHeight="1" x14ac:dyDescent="0.3">
      <c r="A34" s="15" t="s">
        <v>43</v>
      </c>
      <c r="B34" s="1" t="s">
        <v>377</v>
      </c>
      <c r="C34" s="1">
        <v>0</v>
      </c>
      <c r="D34" s="1">
        <v>0</v>
      </c>
      <c r="E34" s="1">
        <v>0</v>
      </c>
      <c r="F34" s="23">
        <v>0</v>
      </c>
      <c r="H34" s="1" t="str">
        <f t="shared" si="0"/>
        <v>其他长期投资(万元)</v>
      </c>
      <c r="I34" s="6">
        <f t="shared" si="1"/>
        <v>0</v>
      </c>
      <c r="J34" s="6">
        <f t="shared" si="2"/>
        <v>0</v>
      </c>
      <c r="K34" s="6">
        <f t="shared" si="3"/>
        <v>0</v>
      </c>
      <c r="M34" s="1" t="str">
        <f t="shared" si="4"/>
        <v>其他长期投资(万元)</v>
      </c>
      <c r="N34" s="6">
        <f t="shared" si="7"/>
        <v>0</v>
      </c>
      <c r="O34" s="6">
        <f t="shared" si="5"/>
        <v>0</v>
      </c>
      <c r="P34" s="6">
        <f t="shared" si="6"/>
        <v>0</v>
      </c>
      <c r="Q34" s="11"/>
    </row>
    <row r="35" spans="1:17" ht="20.25" customHeight="1" x14ac:dyDescent="0.3">
      <c r="A35" s="15" t="s">
        <v>44</v>
      </c>
      <c r="B35" s="1" t="s">
        <v>378</v>
      </c>
      <c r="C35" s="1">
        <v>0</v>
      </c>
      <c r="D35" s="1">
        <v>0</v>
      </c>
      <c r="E35" s="1">
        <v>0</v>
      </c>
      <c r="F35" s="23">
        <v>0</v>
      </c>
      <c r="H35" s="1" t="str">
        <f t="shared" ref="H35:H66" si="8">B35</f>
        <v>投资性房地产(万元)</v>
      </c>
      <c r="I35" s="6">
        <f t="shared" si="1"/>
        <v>0</v>
      </c>
      <c r="J35" s="6">
        <f t="shared" si="2"/>
        <v>0</v>
      </c>
      <c r="K35" s="6">
        <f t="shared" si="3"/>
        <v>0</v>
      </c>
      <c r="M35" s="1" t="str">
        <f t="shared" ref="M35:M66" si="9">B35</f>
        <v>投资性房地产(万元)</v>
      </c>
      <c r="N35" s="6">
        <f t="shared" si="7"/>
        <v>0</v>
      </c>
      <c r="O35" s="6">
        <f t="shared" si="5"/>
        <v>0</v>
      </c>
      <c r="P35" s="6">
        <f t="shared" si="6"/>
        <v>0</v>
      </c>
      <c r="Q35" s="11"/>
    </row>
    <row r="36" spans="1:17" ht="20.25" customHeight="1" x14ac:dyDescent="0.3">
      <c r="A36" s="15" t="s">
        <v>45</v>
      </c>
      <c r="B36" s="1" t="s">
        <v>379</v>
      </c>
      <c r="C36" s="1">
        <v>78713</v>
      </c>
      <c r="D36" s="1">
        <v>75635</v>
      </c>
      <c r="E36" s="1">
        <v>69367</v>
      </c>
      <c r="F36" s="23">
        <v>58717</v>
      </c>
      <c r="H36" s="1" t="str">
        <f t="shared" si="8"/>
        <v>固定资产原值(万元)</v>
      </c>
      <c r="I36" s="6">
        <f t="shared" ref="I36:I67" si="10">C36/C$111</f>
        <v>0.22198689168151975</v>
      </c>
      <c r="J36" s="6">
        <f t="shared" ref="J36:J67" si="11">D36/D$111</f>
        <v>0.25230589608873322</v>
      </c>
      <c r="K36" s="6">
        <f t="shared" ref="K36:K67" si="12">E36/E$111</f>
        <v>0.24581664835748965</v>
      </c>
      <c r="M36" s="1" t="str">
        <f t="shared" si="9"/>
        <v>固定资产原值(万元)</v>
      </c>
      <c r="N36" s="6">
        <f t="shared" si="7"/>
        <v>0.10262423961266109</v>
      </c>
      <c r="O36" s="6">
        <f t="shared" ref="O36:O67" si="13">IFERROR((C36/D36)-1,0)</f>
        <v>4.069544523038271E-2</v>
      </c>
      <c r="P36" s="6">
        <f t="shared" ref="P36:P67" si="14">IFERROR((D36/E36)-1,0)</f>
        <v>9.0359969437917131E-2</v>
      </c>
      <c r="Q36" s="11"/>
    </row>
    <row r="37" spans="1:17" ht="20.25" customHeight="1" x14ac:dyDescent="0.3">
      <c r="A37" s="15" t="s">
        <v>46</v>
      </c>
      <c r="B37" s="1" t="s">
        <v>380</v>
      </c>
      <c r="C37" s="1">
        <v>26222</v>
      </c>
      <c r="D37" s="1">
        <v>22540</v>
      </c>
      <c r="E37" s="1">
        <v>18666</v>
      </c>
      <c r="F37" s="23">
        <v>15259</v>
      </c>
      <c r="H37" s="1" t="str">
        <f t="shared" si="8"/>
        <v>累计折旧(万元)</v>
      </c>
      <c r="I37" s="6">
        <f t="shared" si="10"/>
        <v>7.3951447329828751E-2</v>
      </c>
      <c r="J37" s="6">
        <f t="shared" si="11"/>
        <v>7.5189725627553994E-2</v>
      </c>
      <c r="K37" s="6">
        <f t="shared" si="12"/>
        <v>6.6146922286402773E-2</v>
      </c>
      <c r="M37" s="1" t="str">
        <f t="shared" si="9"/>
        <v>累计折旧(万元)</v>
      </c>
      <c r="N37" s="6">
        <f t="shared" si="7"/>
        <v>0.19778787737626313</v>
      </c>
      <c r="O37" s="6">
        <f t="shared" si="13"/>
        <v>0.16335403726708075</v>
      </c>
      <c r="P37" s="6">
        <f t="shared" si="14"/>
        <v>0.20754312654023366</v>
      </c>
      <c r="Q37" s="11"/>
    </row>
    <row r="38" spans="1:17" ht="20.25" customHeight="1" x14ac:dyDescent="0.3">
      <c r="A38" s="15" t="s">
        <v>47</v>
      </c>
      <c r="B38" s="1" t="s">
        <v>381</v>
      </c>
      <c r="C38" s="1">
        <v>52491</v>
      </c>
      <c r="D38" s="1">
        <v>53095</v>
      </c>
      <c r="E38" s="1">
        <v>50701</v>
      </c>
      <c r="F38" s="23">
        <v>43458</v>
      </c>
      <c r="H38" s="1" t="str">
        <f t="shared" si="8"/>
        <v>固定资产净值(万元)</v>
      </c>
      <c r="I38" s="6">
        <f t="shared" si="10"/>
        <v>0.148035444351691</v>
      </c>
      <c r="J38" s="6">
        <f t="shared" si="11"/>
        <v>0.17711617046117922</v>
      </c>
      <c r="K38" s="6">
        <f t="shared" si="12"/>
        <v>0.17966972607108686</v>
      </c>
      <c r="M38" s="1" t="str">
        <f t="shared" si="9"/>
        <v>固定资产净值(万元)</v>
      </c>
      <c r="N38" s="6">
        <f t="shared" si="7"/>
        <v>6.4972443270359559E-2</v>
      </c>
      <c r="O38" s="6">
        <f t="shared" si="13"/>
        <v>-1.13758357660797E-2</v>
      </c>
      <c r="P38" s="6">
        <f t="shared" si="14"/>
        <v>4.7218003589672763E-2</v>
      </c>
      <c r="Q38" s="11"/>
    </row>
    <row r="39" spans="1:17" ht="20.25" customHeight="1" x14ac:dyDescent="0.3">
      <c r="A39" s="15" t="s">
        <v>48</v>
      </c>
      <c r="B39" s="1" t="s">
        <v>382</v>
      </c>
      <c r="C39" s="1">
        <v>0</v>
      </c>
      <c r="D39" s="1">
        <v>0</v>
      </c>
      <c r="E39" s="1">
        <v>0</v>
      </c>
      <c r="F39" s="23">
        <v>0</v>
      </c>
      <c r="H39" s="1" t="str">
        <f t="shared" si="8"/>
        <v>固定资产减值准备(万元)</v>
      </c>
      <c r="I39" s="6">
        <f t="shared" si="10"/>
        <v>0</v>
      </c>
      <c r="J39" s="6">
        <f t="shared" si="11"/>
        <v>0</v>
      </c>
      <c r="K39" s="6">
        <f t="shared" si="12"/>
        <v>0</v>
      </c>
      <c r="M39" s="1" t="str">
        <f t="shared" si="9"/>
        <v>固定资产减值准备(万元)</v>
      </c>
      <c r="N39" s="6">
        <f t="shared" si="7"/>
        <v>0</v>
      </c>
      <c r="O39" s="6">
        <f t="shared" si="13"/>
        <v>0</v>
      </c>
      <c r="P39" s="6">
        <f t="shared" si="14"/>
        <v>0</v>
      </c>
      <c r="Q39" s="11"/>
    </row>
    <row r="40" spans="1:17" ht="20.25" customHeight="1" x14ac:dyDescent="0.3">
      <c r="A40" s="15" t="s">
        <v>49</v>
      </c>
      <c r="B40" s="1" t="s">
        <v>383</v>
      </c>
      <c r="C40" s="1">
        <v>52491</v>
      </c>
      <c r="D40" s="1">
        <v>53095</v>
      </c>
      <c r="E40" s="1">
        <v>50701</v>
      </c>
      <c r="F40" s="23">
        <v>43458</v>
      </c>
      <c r="H40" s="1" t="str">
        <f t="shared" si="8"/>
        <v>固定资产(万元)</v>
      </c>
      <c r="I40" s="6">
        <f t="shared" si="10"/>
        <v>0.148035444351691</v>
      </c>
      <c r="J40" s="6">
        <f t="shared" si="11"/>
        <v>0.17711617046117922</v>
      </c>
      <c r="K40" s="6">
        <f t="shared" si="12"/>
        <v>0.17966972607108686</v>
      </c>
      <c r="M40" s="1" t="str">
        <f t="shared" si="9"/>
        <v>固定资产(万元)</v>
      </c>
      <c r="N40" s="6">
        <f t="shared" si="7"/>
        <v>6.4972443270359559E-2</v>
      </c>
      <c r="O40" s="6">
        <f t="shared" si="13"/>
        <v>-1.13758357660797E-2</v>
      </c>
      <c r="P40" s="6">
        <f t="shared" si="14"/>
        <v>4.7218003589672763E-2</v>
      </c>
      <c r="Q40" s="11"/>
    </row>
    <row r="41" spans="1:17" ht="20.25" customHeight="1" x14ac:dyDescent="0.3">
      <c r="A41" s="15" t="s">
        <v>50</v>
      </c>
      <c r="B41" s="1" t="s">
        <v>384</v>
      </c>
      <c r="C41" s="1">
        <v>39652</v>
      </c>
      <c r="D41" s="1">
        <v>24740</v>
      </c>
      <c r="E41" s="1">
        <v>21831</v>
      </c>
      <c r="F41" s="23">
        <v>18906</v>
      </c>
      <c r="H41" s="1" t="str">
        <f t="shared" si="8"/>
        <v>在建工程(万元)</v>
      </c>
      <c r="I41" s="6">
        <f t="shared" si="10"/>
        <v>0.11182681677684272</v>
      </c>
      <c r="J41" s="6">
        <f t="shared" si="11"/>
        <v>8.2528563088983403E-2</v>
      </c>
      <c r="K41" s="6">
        <f t="shared" si="12"/>
        <v>7.7362769765051909E-2</v>
      </c>
      <c r="M41" s="1" t="str">
        <f t="shared" si="9"/>
        <v>在建工程(万元)</v>
      </c>
      <c r="N41" s="6">
        <f t="shared" si="7"/>
        <v>0.2800349113551821</v>
      </c>
      <c r="O41" s="6">
        <f t="shared" si="13"/>
        <v>0.60274858528698472</v>
      </c>
      <c r="P41" s="6">
        <f t="shared" si="14"/>
        <v>0.13325088177362465</v>
      </c>
      <c r="Q41" s="11"/>
    </row>
    <row r="42" spans="1:17" ht="20.25" customHeight="1" x14ac:dyDescent="0.3">
      <c r="A42" s="15" t="s">
        <v>51</v>
      </c>
      <c r="B42" s="1" t="s">
        <v>385</v>
      </c>
      <c r="C42" s="1">
        <v>0</v>
      </c>
      <c r="D42" s="1">
        <v>0</v>
      </c>
      <c r="E42" s="1">
        <v>0</v>
      </c>
      <c r="F42" s="23">
        <v>0</v>
      </c>
      <c r="H42" s="1" t="str">
        <f t="shared" si="8"/>
        <v>工程物资(万元)</v>
      </c>
      <c r="I42" s="6">
        <f t="shared" si="10"/>
        <v>0</v>
      </c>
      <c r="J42" s="6">
        <f t="shared" si="11"/>
        <v>0</v>
      </c>
      <c r="K42" s="6">
        <f t="shared" si="12"/>
        <v>0</v>
      </c>
      <c r="M42" s="1" t="str">
        <f t="shared" si="9"/>
        <v>工程物资(万元)</v>
      </c>
      <c r="N42" s="6">
        <f t="shared" si="7"/>
        <v>0</v>
      </c>
      <c r="O42" s="6">
        <f t="shared" si="13"/>
        <v>0</v>
      </c>
      <c r="P42" s="6">
        <f t="shared" si="14"/>
        <v>0</v>
      </c>
      <c r="Q42" s="11"/>
    </row>
    <row r="43" spans="1:17" ht="20.25" customHeight="1" x14ac:dyDescent="0.3">
      <c r="A43" s="15" t="s">
        <v>52</v>
      </c>
      <c r="B43" s="1" t="s">
        <v>386</v>
      </c>
      <c r="C43" s="1">
        <v>0</v>
      </c>
      <c r="D43" s="1">
        <v>0</v>
      </c>
      <c r="E43" s="1">
        <v>0</v>
      </c>
      <c r="F43" s="23">
        <v>0</v>
      </c>
      <c r="H43" s="1" t="str">
        <f t="shared" si="8"/>
        <v>固定资产清理(万元)</v>
      </c>
      <c r="I43" s="6">
        <f t="shared" si="10"/>
        <v>0</v>
      </c>
      <c r="J43" s="6">
        <f t="shared" si="11"/>
        <v>0</v>
      </c>
      <c r="K43" s="6">
        <f t="shared" si="12"/>
        <v>0</v>
      </c>
      <c r="M43" s="1" t="str">
        <f t="shared" si="9"/>
        <v>固定资产清理(万元)</v>
      </c>
      <c r="N43" s="6">
        <f t="shared" si="7"/>
        <v>0</v>
      </c>
      <c r="O43" s="6">
        <f t="shared" si="13"/>
        <v>0</v>
      </c>
      <c r="P43" s="6">
        <f t="shared" si="14"/>
        <v>0</v>
      </c>
      <c r="Q43" s="11"/>
    </row>
    <row r="44" spans="1:17" ht="20.25" customHeight="1" x14ac:dyDescent="0.3">
      <c r="A44" s="15" t="s">
        <v>53</v>
      </c>
      <c r="B44" s="1" t="s">
        <v>387</v>
      </c>
      <c r="C44" s="1">
        <v>0</v>
      </c>
      <c r="D44" s="1">
        <v>0</v>
      </c>
      <c r="E44" s="1">
        <v>0</v>
      </c>
      <c r="F44" s="23">
        <v>0</v>
      </c>
      <c r="H44" s="1" t="str">
        <f t="shared" si="8"/>
        <v>生产性生物资产(万元)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M44" s="1" t="str">
        <f t="shared" si="9"/>
        <v>生产性生物资产(万元)</v>
      </c>
      <c r="N44" s="6">
        <f t="shared" si="7"/>
        <v>0</v>
      </c>
      <c r="O44" s="6">
        <f t="shared" si="13"/>
        <v>0</v>
      </c>
      <c r="P44" s="6">
        <f t="shared" si="14"/>
        <v>0</v>
      </c>
      <c r="Q44" s="11"/>
    </row>
    <row r="45" spans="1:17" ht="20.25" customHeight="1" x14ac:dyDescent="0.3">
      <c r="A45" s="15" t="s">
        <v>54</v>
      </c>
      <c r="B45" s="1" t="s">
        <v>388</v>
      </c>
      <c r="C45" s="1">
        <v>0</v>
      </c>
      <c r="D45" s="1">
        <v>0</v>
      </c>
      <c r="E45" s="1">
        <v>0</v>
      </c>
      <c r="F45" s="23">
        <v>0</v>
      </c>
      <c r="H45" s="1" t="str">
        <f t="shared" si="8"/>
        <v>公益性生物资产(万元)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M45" s="1" t="str">
        <f t="shared" si="9"/>
        <v>公益性生物资产(万元)</v>
      </c>
      <c r="N45" s="6">
        <f t="shared" si="7"/>
        <v>0</v>
      </c>
      <c r="O45" s="6">
        <f t="shared" si="13"/>
        <v>0</v>
      </c>
      <c r="P45" s="6">
        <f t="shared" si="14"/>
        <v>0</v>
      </c>
      <c r="Q45" s="11"/>
    </row>
    <row r="46" spans="1:17" ht="20.25" customHeight="1" x14ac:dyDescent="0.3">
      <c r="A46" s="15" t="s">
        <v>55</v>
      </c>
      <c r="B46" s="1" t="s">
        <v>389</v>
      </c>
      <c r="C46" s="1">
        <v>0</v>
      </c>
      <c r="D46" s="1">
        <v>0</v>
      </c>
      <c r="E46" s="1">
        <v>0</v>
      </c>
      <c r="F46" s="23">
        <v>0</v>
      </c>
      <c r="H46" s="1" t="str">
        <f t="shared" si="8"/>
        <v>油气资产(万元)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M46" s="1" t="str">
        <f t="shared" si="9"/>
        <v>油气资产(万元)</v>
      </c>
      <c r="N46" s="6">
        <f t="shared" si="7"/>
        <v>0</v>
      </c>
      <c r="O46" s="6">
        <f t="shared" si="13"/>
        <v>0</v>
      </c>
      <c r="P46" s="6">
        <f t="shared" si="14"/>
        <v>0</v>
      </c>
      <c r="Q46" s="11"/>
    </row>
    <row r="47" spans="1:17" ht="20.25" customHeight="1" x14ac:dyDescent="0.3">
      <c r="A47" s="15" t="s">
        <v>56</v>
      </c>
      <c r="B47" s="1" t="s">
        <v>390</v>
      </c>
      <c r="C47" s="1">
        <v>6942</v>
      </c>
      <c r="D47" s="1">
        <v>6889</v>
      </c>
      <c r="E47" s="1">
        <v>7059</v>
      </c>
      <c r="F47" s="23">
        <v>7418</v>
      </c>
      <c r="H47" s="1" t="str">
        <f t="shared" si="8"/>
        <v>无形资产(万元)</v>
      </c>
      <c r="I47" s="6">
        <f t="shared" si="10"/>
        <v>1.9577871533966562E-2</v>
      </c>
      <c r="J47" s="6">
        <f t="shared" si="11"/>
        <v>2.2980568759903262E-2</v>
      </c>
      <c r="K47" s="6">
        <f t="shared" si="12"/>
        <v>2.5015060774655373E-2</v>
      </c>
      <c r="M47" s="1" t="str">
        <f t="shared" si="9"/>
        <v>无形资产(万元)</v>
      </c>
      <c r="N47" s="6">
        <f t="shared" si="7"/>
        <v>-2.1863962079756272E-2</v>
      </c>
      <c r="O47" s="6">
        <f t="shared" si="13"/>
        <v>7.6934242996080648E-3</v>
      </c>
      <c r="P47" s="6">
        <f t="shared" si="14"/>
        <v>-2.4082731265051671E-2</v>
      </c>
      <c r="Q47" s="11"/>
    </row>
    <row r="48" spans="1:17" ht="20.25" customHeight="1" x14ac:dyDescent="0.3">
      <c r="A48" s="15" t="s">
        <v>57</v>
      </c>
      <c r="B48" s="1" t="s">
        <v>391</v>
      </c>
      <c r="C48" s="1">
        <v>0</v>
      </c>
      <c r="D48" s="1">
        <v>0</v>
      </c>
      <c r="E48" s="1">
        <v>0</v>
      </c>
      <c r="F48" s="23">
        <v>0</v>
      </c>
      <c r="H48" s="1" t="str">
        <f t="shared" si="8"/>
        <v>开发支出(万元)</v>
      </c>
      <c r="I48" s="6">
        <f t="shared" si="10"/>
        <v>0</v>
      </c>
      <c r="J48" s="6">
        <f t="shared" si="11"/>
        <v>0</v>
      </c>
      <c r="K48" s="6">
        <f t="shared" si="12"/>
        <v>0</v>
      </c>
      <c r="M48" s="1" t="str">
        <f t="shared" si="9"/>
        <v>开发支出(万元)</v>
      </c>
      <c r="N48" s="6">
        <f t="shared" si="7"/>
        <v>0</v>
      </c>
      <c r="O48" s="6">
        <f t="shared" si="13"/>
        <v>0</v>
      </c>
      <c r="P48" s="6">
        <f t="shared" si="14"/>
        <v>0</v>
      </c>
      <c r="Q48" s="11"/>
    </row>
    <row r="49" spans="1:17" ht="20.25" customHeight="1" x14ac:dyDescent="0.3">
      <c r="A49" s="15" t="s">
        <v>58</v>
      </c>
      <c r="B49" s="1" t="s">
        <v>392</v>
      </c>
      <c r="C49" s="1">
        <v>0</v>
      </c>
      <c r="D49" s="1">
        <v>0</v>
      </c>
      <c r="E49" s="1">
        <v>0</v>
      </c>
      <c r="F49" s="23">
        <v>0</v>
      </c>
      <c r="H49" s="1" t="str">
        <f t="shared" si="8"/>
        <v>商誉(万元)</v>
      </c>
      <c r="I49" s="6">
        <f t="shared" si="10"/>
        <v>0</v>
      </c>
      <c r="J49" s="6">
        <f t="shared" si="11"/>
        <v>0</v>
      </c>
      <c r="K49" s="6">
        <f t="shared" si="12"/>
        <v>0</v>
      </c>
      <c r="M49" s="1" t="str">
        <f t="shared" si="9"/>
        <v>商誉(万元)</v>
      </c>
      <c r="N49" s="6">
        <f t="shared" si="7"/>
        <v>0</v>
      </c>
      <c r="O49" s="6">
        <f t="shared" si="13"/>
        <v>0</v>
      </c>
      <c r="P49" s="6">
        <f t="shared" si="14"/>
        <v>0</v>
      </c>
      <c r="Q49" s="11"/>
    </row>
    <row r="50" spans="1:17" ht="20.25" customHeight="1" x14ac:dyDescent="0.3">
      <c r="A50" s="15" t="s">
        <v>59</v>
      </c>
      <c r="B50" s="1" t="s">
        <v>393</v>
      </c>
      <c r="C50" s="1">
        <v>1544</v>
      </c>
      <c r="D50" s="1">
        <v>1085</v>
      </c>
      <c r="E50" s="1">
        <v>1047</v>
      </c>
      <c r="F50" s="23">
        <v>196</v>
      </c>
      <c r="H50" s="1" t="str">
        <f t="shared" si="8"/>
        <v>长期待摊费用(万元)</v>
      </c>
      <c r="I50" s="6">
        <f t="shared" si="10"/>
        <v>4.3543983936105406E-3</v>
      </c>
      <c r="J50" s="6">
        <f t="shared" si="11"/>
        <v>3.619381202568593E-3</v>
      </c>
      <c r="K50" s="6">
        <f t="shared" si="12"/>
        <v>3.7102661327474396E-3</v>
      </c>
      <c r="M50" s="1" t="str">
        <f t="shared" si="9"/>
        <v>长期待摊费用(万元)</v>
      </c>
      <c r="N50" s="6">
        <f t="shared" si="7"/>
        <v>0.9897434094566615</v>
      </c>
      <c r="O50" s="6">
        <f t="shared" si="13"/>
        <v>0.4230414746543778</v>
      </c>
      <c r="P50" s="6">
        <f t="shared" si="14"/>
        <v>3.629417382999045E-2</v>
      </c>
      <c r="Q50" s="11"/>
    </row>
    <row r="51" spans="1:17" ht="20.25" customHeight="1" x14ac:dyDescent="0.3">
      <c r="A51" s="15" t="s">
        <v>60</v>
      </c>
      <c r="B51" s="1" t="s">
        <v>394</v>
      </c>
      <c r="C51" s="1">
        <v>0</v>
      </c>
      <c r="D51" s="1">
        <v>0</v>
      </c>
      <c r="E51" s="1">
        <v>0</v>
      </c>
      <c r="F51" s="23">
        <v>0</v>
      </c>
      <c r="H51" s="1" t="str">
        <f t="shared" si="8"/>
        <v>股权分置流通权(万元)</v>
      </c>
      <c r="I51" s="6">
        <f t="shared" si="10"/>
        <v>0</v>
      </c>
      <c r="J51" s="6">
        <f t="shared" si="11"/>
        <v>0</v>
      </c>
      <c r="K51" s="6">
        <f t="shared" si="12"/>
        <v>0</v>
      </c>
      <c r="M51" s="1" t="str">
        <f t="shared" si="9"/>
        <v>股权分置流通权(万元)</v>
      </c>
      <c r="N51" s="6">
        <f t="shared" si="7"/>
        <v>0</v>
      </c>
      <c r="O51" s="6">
        <f t="shared" si="13"/>
        <v>0</v>
      </c>
      <c r="P51" s="6">
        <f t="shared" si="14"/>
        <v>0</v>
      </c>
      <c r="Q51" s="11"/>
    </row>
    <row r="52" spans="1:17" ht="20.25" customHeight="1" x14ac:dyDescent="0.3">
      <c r="A52" s="15" t="s">
        <v>61</v>
      </c>
      <c r="B52" s="1" t="s">
        <v>395</v>
      </c>
      <c r="C52" s="1">
        <v>7493</v>
      </c>
      <c r="D52" s="1">
        <v>5433</v>
      </c>
      <c r="E52" s="1">
        <v>4426</v>
      </c>
      <c r="F52" s="23">
        <v>3572</v>
      </c>
      <c r="H52" s="1" t="str">
        <f t="shared" si="8"/>
        <v>递延所得税资产(万元)</v>
      </c>
      <c r="I52" s="6">
        <f t="shared" si="10"/>
        <v>2.1131805157593123E-2</v>
      </c>
      <c r="J52" s="6">
        <f t="shared" si="11"/>
        <v>1.812359269452089E-2</v>
      </c>
      <c r="K52" s="6">
        <f t="shared" si="12"/>
        <v>1.5684467911690706E-2</v>
      </c>
      <c r="M52" s="1" t="str">
        <f t="shared" si="9"/>
        <v>递延所得税资产(万元)</v>
      </c>
      <c r="N52" s="6">
        <f t="shared" si="7"/>
        <v>0.28011236955006025</v>
      </c>
      <c r="O52" s="6">
        <f t="shared" si="13"/>
        <v>0.37916436591201919</v>
      </c>
      <c r="P52" s="6">
        <f t="shared" si="14"/>
        <v>0.22751920469950293</v>
      </c>
      <c r="Q52" s="11"/>
    </row>
    <row r="53" spans="1:17" ht="20.25" customHeight="1" x14ac:dyDescent="0.3">
      <c r="A53" s="15" t="s">
        <v>62</v>
      </c>
      <c r="B53" s="1" t="s">
        <v>396</v>
      </c>
      <c r="C53" s="1">
        <v>18836</v>
      </c>
      <c r="D53" s="1">
        <v>7806</v>
      </c>
      <c r="E53" s="1">
        <v>241</v>
      </c>
      <c r="F53" s="23">
        <v>0</v>
      </c>
      <c r="H53" s="1" t="str">
        <f t="shared" si="8"/>
        <v>其他非流动资产(万元)</v>
      </c>
      <c r="I53" s="6">
        <f t="shared" si="10"/>
        <v>5.3121404237077813E-2</v>
      </c>
      <c r="J53" s="6">
        <f t="shared" si="11"/>
        <v>2.6039529647235427E-2</v>
      </c>
      <c r="K53" s="6">
        <f t="shared" si="12"/>
        <v>8.5403451575179841E-4</v>
      </c>
      <c r="M53" s="1" t="str">
        <f t="shared" si="9"/>
        <v>其他非流动资产(万元)</v>
      </c>
      <c r="N53" s="6">
        <f t="shared" si="7"/>
        <v>0</v>
      </c>
      <c r="O53" s="6">
        <f t="shared" si="13"/>
        <v>1.4130156290033309</v>
      </c>
      <c r="P53" s="6">
        <f t="shared" si="14"/>
        <v>31.390041493775932</v>
      </c>
      <c r="Q53" s="11"/>
    </row>
    <row r="54" spans="1:17" ht="20.25" customHeight="1" x14ac:dyDescent="0.3">
      <c r="A54" s="15" t="s">
        <v>63</v>
      </c>
      <c r="B54" s="1" t="s">
        <v>397</v>
      </c>
      <c r="C54" s="1">
        <v>149407</v>
      </c>
      <c r="D54" s="1">
        <v>121499</v>
      </c>
      <c r="E54" s="1">
        <v>107756</v>
      </c>
      <c r="F54" s="23">
        <v>73550</v>
      </c>
      <c r="H54" s="1" t="str">
        <f t="shared" si="8"/>
        <v>非流动资产合计(万元)</v>
      </c>
      <c r="I54" s="6">
        <f t="shared" si="10"/>
        <v>0.42135854973715681</v>
      </c>
      <c r="J54" s="6">
        <f t="shared" si="11"/>
        <v>0.40530064214827788</v>
      </c>
      <c r="K54" s="6">
        <f t="shared" si="12"/>
        <v>0.38185619617987882</v>
      </c>
      <c r="M54" s="1" t="str">
        <f t="shared" si="9"/>
        <v>非流动资产合计(万元)</v>
      </c>
      <c r="N54" s="6">
        <f t="shared" si="7"/>
        <v>0.26647344905900949</v>
      </c>
      <c r="O54" s="6">
        <f t="shared" si="13"/>
        <v>0.22969736376431071</v>
      </c>
      <c r="P54" s="6">
        <f t="shared" si="14"/>
        <v>0.12753814172760691</v>
      </c>
      <c r="Q54" s="11"/>
    </row>
    <row r="55" spans="1:17" ht="20.25" customHeight="1" x14ac:dyDescent="0.3">
      <c r="A55" s="15" t="s">
        <v>64</v>
      </c>
      <c r="B55" s="1" t="s">
        <v>398</v>
      </c>
      <c r="C55" s="1">
        <v>354584</v>
      </c>
      <c r="D55" s="1">
        <v>299775</v>
      </c>
      <c r="E55" s="1">
        <v>282190</v>
      </c>
      <c r="F55" s="23">
        <v>240794</v>
      </c>
      <c r="H55" s="1" t="str">
        <f t="shared" si="8"/>
        <v>资产总计(万元)</v>
      </c>
      <c r="I55" s="6">
        <f t="shared" si="10"/>
        <v>1</v>
      </c>
      <c r="J55" s="6">
        <f t="shared" si="11"/>
        <v>1</v>
      </c>
      <c r="K55" s="6">
        <f t="shared" si="12"/>
        <v>1</v>
      </c>
      <c r="M55" s="1" t="str">
        <f t="shared" si="9"/>
        <v>资产总计(万元)</v>
      </c>
      <c r="N55" s="6">
        <f t="shared" si="7"/>
        <v>0.13769144205839368</v>
      </c>
      <c r="O55" s="6">
        <f t="shared" si="13"/>
        <v>0.18283379201067462</v>
      </c>
      <c r="P55" s="6">
        <f t="shared" si="14"/>
        <v>6.2316169956412315E-2</v>
      </c>
      <c r="Q55" s="11"/>
    </row>
    <row r="56" spans="1:17" ht="20.25" customHeight="1" x14ac:dyDescent="0.3">
      <c r="A56" s="15" t="s">
        <v>65</v>
      </c>
      <c r="B56" s="1" t="s">
        <v>399</v>
      </c>
      <c r="C56" s="1">
        <v>0</v>
      </c>
      <c r="D56" s="1">
        <v>0</v>
      </c>
      <c r="E56" s="1">
        <v>0</v>
      </c>
      <c r="F56" s="23">
        <v>0</v>
      </c>
      <c r="H56" s="1" t="str">
        <f t="shared" si="8"/>
        <v>短期借款(万元)</v>
      </c>
      <c r="I56" s="6">
        <f t="shared" si="10"/>
        <v>0</v>
      </c>
      <c r="J56" s="6">
        <f t="shared" si="11"/>
        <v>0</v>
      </c>
      <c r="K56" s="6">
        <f t="shared" si="12"/>
        <v>0</v>
      </c>
      <c r="M56" s="1" t="str">
        <f t="shared" si="9"/>
        <v>短期借款(万元)</v>
      </c>
      <c r="N56" s="6">
        <f t="shared" si="7"/>
        <v>0</v>
      </c>
      <c r="O56" s="6">
        <f t="shared" si="13"/>
        <v>0</v>
      </c>
      <c r="P56" s="6">
        <f t="shared" si="14"/>
        <v>0</v>
      </c>
      <c r="Q56" s="11"/>
    </row>
    <row r="57" spans="1:17" ht="20.25" customHeight="1" x14ac:dyDescent="0.3">
      <c r="A57" s="15" t="s">
        <v>66</v>
      </c>
      <c r="B57" s="1" t="s">
        <v>400</v>
      </c>
      <c r="C57" s="1">
        <v>0</v>
      </c>
      <c r="D57" s="1">
        <v>0</v>
      </c>
      <c r="E57" s="1">
        <v>0</v>
      </c>
      <c r="F57" s="23">
        <v>0</v>
      </c>
      <c r="H57" s="1" t="str">
        <f t="shared" si="8"/>
        <v>向中央银行借款(万元)</v>
      </c>
      <c r="I57" s="6">
        <f t="shared" si="10"/>
        <v>0</v>
      </c>
      <c r="J57" s="6">
        <f t="shared" si="11"/>
        <v>0</v>
      </c>
      <c r="K57" s="6">
        <f t="shared" si="12"/>
        <v>0</v>
      </c>
      <c r="M57" s="1" t="str">
        <f t="shared" si="9"/>
        <v>向中央银行借款(万元)</v>
      </c>
      <c r="N57" s="6">
        <f t="shared" si="7"/>
        <v>0</v>
      </c>
      <c r="O57" s="6">
        <f t="shared" si="13"/>
        <v>0</v>
      </c>
      <c r="P57" s="6">
        <f t="shared" si="14"/>
        <v>0</v>
      </c>
      <c r="Q57" s="11"/>
    </row>
    <row r="58" spans="1:17" ht="20.25" customHeight="1" x14ac:dyDescent="0.3">
      <c r="A58" s="15" t="s">
        <v>67</v>
      </c>
      <c r="B58" s="1" t="s">
        <v>401</v>
      </c>
      <c r="C58" s="1">
        <v>0</v>
      </c>
      <c r="D58" s="1">
        <v>0</v>
      </c>
      <c r="E58" s="1">
        <v>0</v>
      </c>
      <c r="F58" s="23">
        <v>0</v>
      </c>
      <c r="H58" s="1" t="str">
        <f t="shared" si="8"/>
        <v>吸收存款及同业存放(万元)</v>
      </c>
      <c r="I58" s="6">
        <f t="shared" si="10"/>
        <v>0</v>
      </c>
      <c r="J58" s="6">
        <f t="shared" si="11"/>
        <v>0</v>
      </c>
      <c r="K58" s="6">
        <f t="shared" si="12"/>
        <v>0</v>
      </c>
      <c r="M58" s="1" t="str">
        <f t="shared" si="9"/>
        <v>吸收存款及同业存放(万元)</v>
      </c>
      <c r="N58" s="6">
        <f t="shared" si="7"/>
        <v>0</v>
      </c>
      <c r="O58" s="6">
        <f t="shared" si="13"/>
        <v>0</v>
      </c>
      <c r="P58" s="6">
        <f t="shared" si="14"/>
        <v>0</v>
      </c>
      <c r="Q58" s="11"/>
    </row>
    <row r="59" spans="1:17" ht="20.25" customHeight="1" x14ac:dyDescent="0.3">
      <c r="A59" s="15" t="s">
        <v>68</v>
      </c>
      <c r="B59" s="1" t="s">
        <v>402</v>
      </c>
      <c r="C59" s="1">
        <v>0</v>
      </c>
      <c r="D59" s="1">
        <v>0</v>
      </c>
      <c r="E59" s="1">
        <v>0</v>
      </c>
      <c r="F59" s="23">
        <v>0</v>
      </c>
      <c r="H59" s="1" t="str">
        <f t="shared" si="8"/>
        <v>拆入资金(万元)</v>
      </c>
      <c r="I59" s="6">
        <f t="shared" si="10"/>
        <v>0</v>
      </c>
      <c r="J59" s="6">
        <f t="shared" si="11"/>
        <v>0</v>
      </c>
      <c r="K59" s="6">
        <f t="shared" si="12"/>
        <v>0</v>
      </c>
      <c r="M59" s="1" t="str">
        <f t="shared" si="9"/>
        <v>拆入资金(万元)</v>
      </c>
      <c r="N59" s="6">
        <f t="shared" si="7"/>
        <v>0</v>
      </c>
      <c r="O59" s="6">
        <f t="shared" si="13"/>
        <v>0</v>
      </c>
      <c r="P59" s="6">
        <f t="shared" si="14"/>
        <v>0</v>
      </c>
      <c r="Q59" s="11"/>
    </row>
    <row r="60" spans="1:17" ht="20.25" customHeight="1" x14ac:dyDescent="0.3">
      <c r="A60" s="15" t="s">
        <v>69</v>
      </c>
      <c r="B60" s="1" t="s">
        <v>403</v>
      </c>
      <c r="C60" s="1">
        <v>0</v>
      </c>
      <c r="D60" s="1">
        <v>0</v>
      </c>
      <c r="E60" s="1">
        <v>0</v>
      </c>
      <c r="F60" s="23">
        <v>0</v>
      </c>
      <c r="H60" s="1" t="str">
        <f t="shared" si="8"/>
        <v>交易性金融负债(万元)</v>
      </c>
      <c r="I60" s="6">
        <f t="shared" si="10"/>
        <v>0</v>
      </c>
      <c r="J60" s="6">
        <f t="shared" si="11"/>
        <v>0</v>
      </c>
      <c r="K60" s="6">
        <f t="shared" si="12"/>
        <v>0</v>
      </c>
      <c r="M60" s="1" t="str">
        <f t="shared" si="9"/>
        <v>交易性金融负债(万元)</v>
      </c>
      <c r="N60" s="6">
        <f t="shared" si="7"/>
        <v>0</v>
      </c>
      <c r="O60" s="6">
        <f t="shared" si="13"/>
        <v>0</v>
      </c>
      <c r="P60" s="6">
        <f t="shared" si="14"/>
        <v>0</v>
      </c>
      <c r="Q60" s="11"/>
    </row>
    <row r="61" spans="1:17" ht="20.25" customHeight="1" x14ac:dyDescent="0.3">
      <c r="A61" s="15" t="s">
        <v>70</v>
      </c>
      <c r="B61" s="1" t="s">
        <v>404</v>
      </c>
      <c r="C61" s="1">
        <v>0</v>
      </c>
      <c r="D61" s="1">
        <v>0</v>
      </c>
      <c r="E61" s="1">
        <v>0</v>
      </c>
      <c r="F61" s="23">
        <v>0</v>
      </c>
      <c r="H61" s="1" t="str">
        <f t="shared" si="8"/>
        <v>衍生金融负债(万元)</v>
      </c>
      <c r="I61" s="6">
        <f t="shared" si="10"/>
        <v>0</v>
      </c>
      <c r="J61" s="6">
        <f t="shared" si="11"/>
        <v>0</v>
      </c>
      <c r="K61" s="6">
        <f t="shared" si="12"/>
        <v>0</v>
      </c>
      <c r="M61" s="1" t="str">
        <f t="shared" si="9"/>
        <v>衍生金融负债(万元)</v>
      </c>
      <c r="N61" s="6">
        <f t="shared" si="7"/>
        <v>0</v>
      </c>
      <c r="O61" s="6">
        <f t="shared" si="13"/>
        <v>0</v>
      </c>
      <c r="P61" s="6">
        <f t="shared" si="14"/>
        <v>0</v>
      </c>
      <c r="Q61" s="11"/>
    </row>
    <row r="62" spans="1:17" ht="20.25" customHeight="1" x14ac:dyDescent="0.3">
      <c r="A62" s="15" t="s">
        <v>71</v>
      </c>
      <c r="B62" s="1" t="s">
        <v>405</v>
      </c>
      <c r="C62" s="1">
        <v>12605</v>
      </c>
      <c r="D62" s="1">
        <v>13351</v>
      </c>
      <c r="E62" s="1">
        <v>8244</v>
      </c>
      <c r="F62" s="23">
        <v>8644</v>
      </c>
      <c r="H62" s="1" t="str">
        <f t="shared" si="8"/>
        <v>应付票据(万元)</v>
      </c>
      <c r="I62" s="6">
        <f t="shared" si="10"/>
        <v>3.5548699320894342E-2</v>
      </c>
      <c r="J62" s="6">
        <f t="shared" si="11"/>
        <v>4.4536735885247272E-2</v>
      </c>
      <c r="K62" s="6">
        <f t="shared" si="12"/>
        <v>2.9214359119742017E-2</v>
      </c>
      <c r="M62" s="1" t="str">
        <f t="shared" si="9"/>
        <v>应付票据(万元)</v>
      </c>
      <c r="N62" s="6">
        <f t="shared" si="7"/>
        <v>0.13399036333864278</v>
      </c>
      <c r="O62" s="6">
        <f t="shared" si="13"/>
        <v>-5.5875964347239959E-2</v>
      </c>
      <c r="P62" s="6">
        <f t="shared" si="14"/>
        <v>0.61948083454633673</v>
      </c>
      <c r="Q62" s="11"/>
    </row>
    <row r="63" spans="1:17" ht="20.25" customHeight="1" x14ac:dyDescent="0.3">
      <c r="A63" s="15" t="s">
        <v>72</v>
      </c>
      <c r="B63" s="1" t="s">
        <v>406</v>
      </c>
      <c r="C63" s="1">
        <v>18179</v>
      </c>
      <c r="D63" s="1">
        <v>15073</v>
      </c>
      <c r="E63" s="1">
        <v>18258</v>
      </c>
      <c r="F63" s="23">
        <v>15105</v>
      </c>
      <c r="H63" s="1" t="str">
        <f t="shared" si="8"/>
        <v>应付账款(万元)</v>
      </c>
      <c r="I63" s="6">
        <f t="shared" si="10"/>
        <v>5.1268528754822552E-2</v>
      </c>
      <c r="J63" s="6">
        <f t="shared" si="11"/>
        <v>5.0281044116420648E-2</v>
      </c>
      <c r="K63" s="6">
        <f t="shared" si="12"/>
        <v>6.4701087919486866E-2</v>
      </c>
      <c r="M63" s="1" t="str">
        <f t="shared" si="9"/>
        <v>应付账款(万元)</v>
      </c>
      <c r="N63" s="6">
        <f t="shared" si="7"/>
        <v>6.3693290935809888E-2</v>
      </c>
      <c r="O63" s="6">
        <f t="shared" si="13"/>
        <v>0.20606382272938362</v>
      </c>
      <c r="P63" s="6">
        <f t="shared" si="14"/>
        <v>-0.17444407930770078</v>
      </c>
      <c r="Q63" s="11"/>
    </row>
    <row r="64" spans="1:17" ht="20.25" customHeight="1" x14ac:dyDescent="0.3">
      <c r="A64" s="15" t="s">
        <v>73</v>
      </c>
      <c r="B64" s="1" t="s">
        <v>407</v>
      </c>
      <c r="C64" s="1">
        <v>3315</v>
      </c>
      <c r="D64" s="1">
        <v>1870</v>
      </c>
      <c r="E64" s="1">
        <v>1680</v>
      </c>
      <c r="F64" s="23">
        <v>2080</v>
      </c>
      <c r="H64" s="1" t="str">
        <f t="shared" si="8"/>
        <v>预收账款(万元)</v>
      </c>
      <c r="I64" s="6">
        <f t="shared" si="10"/>
        <v>9.3489835976806619E-3</v>
      </c>
      <c r="J64" s="6">
        <f t="shared" si="11"/>
        <v>6.2380118422149947E-3</v>
      </c>
      <c r="K64" s="6">
        <f t="shared" si="12"/>
        <v>5.9534356284772667E-3</v>
      </c>
      <c r="M64" s="1" t="str">
        <f t="shared" si="9"/>
        <v>预收账款(万元)</v>
      </c>
      <c r="N64" s="6">
        <f t="shared" si="7"/>
        <v>0.16808218208881498</v>
      </c>
      <c r="O64" s="6">
        <f t="shared" si="13"/>
        <v>0.77272727272727271</v>
      </c>
      <c r="P64" s="6">
        <f t="shared" si="14"/>
        <v>0.11309523809523814</v>
      </c>
      <c r="Q64" s="11"/>
    </row>
    <row r="65" spans="1:17" ht="20.25" customHeight="1" x14ac:dyDescent="0.3">
      <c r="A65" s="15" t="s">
        <v>74</v>
      </c>
      <c r="B65" s="1" t="s">
        <v>408</v>
      </c>
      <c r="C65" s="1">
        <v>0</v>
      </c>
      <c r="D65" s="1">
        <v>0</v>
      </c>
      <c r="E65" s="1">
        <v>0</v>
      </c>
      <c r="F65" s="23">
        <v>0</v>
      </c>
      <c r="H65" s="1" t="str">
        <f t="shared" si="8"/>
        <v>卖出回购金融资产款(万元)</v>
      </c>
      <c r="I65" s="6">
        <f t="shared" si="10"/>
        <v>0</v>
      </c>
      <c r="J65" s="6">
        <f t="shared" si="11"/>
        <v>0</v>
      </c>
      <c r="K65" s="6">
        <f t="shared" si="12"/>
        <v>0</v>
      </c>
      <c r="M65" s="1" t="str">
        <f t="shared" si="9"/>
        <v>卖出回购金融资产款(万元)</v>
      </c>
      <c r="N65" s="6">
        <f t="shared" si="7"/>
        <v>0</v>
      </c>
      <c r="O65" s="6">
        <f t="shared" si="13"/>
        <v>0</v>
      </c>
      <c r="P65" s="6">
        <f t="shared" si="14"/>
        <v>0</v>
      </c>
      <c r="Q65" s="11"/>
    </row>
    <row r="66" spans="1:17" ht="20.25" customHeight="1" x14ac:dyDescent="0.3">
      <c r="A66" s="15" t="s">
        <v>75</v>
      </c>
      <c r="B66" s="1" t="s">
        <v>409</v>
      </c>
      <c r="C66" s="1">
        <v>0</v>
      </c>
      <c r="D66" s="1">
        <v>0</v>
      </c>
      <c r="E66" s="1">
        <v>0</v>
      </c>
      <c r="F66" s="23">
        <v>0</v>
      </c>
      <c r="H66" s="1" t="str">
        <f t="shared" si="8"/>
        <v>应付手续费及佣金(万元)</v>
      </c>
      <c r="I66" s="6">
        <f t="shared" si="10"/>
        <v>0</v>
      </c>
      <c r="J66" s="6">
        <f t="shared" si="11"/>
        <v>0</v>
      </c>
      <c r="K66" s="6">
        <f t="shared" si="12"/>
        <v>0</v>
      </c>
      <c r="M66" s="1" t="str">
        <f t="shared" si="9"/>
        <v>应付手续费及佣金(万元)</v>
      </c>
      <c r="N66" s="6">
        <f t="shared" si="7"/>
        <v>0</v>
      </c>
      <c r="O66" s="6">
        <f t="shared" si="13"/>
        <v>0</v>
      </c>
      <c r="P66" s="6">
        <f t="shared" si="14"/>
        <v>0</v>
      </c>
      <c r="Q66" s="11"/>
    </row>
    <row r="67" spans="1:17" ht="20.25" customHeight="1" x14ac:dyDescent="0.3">
      <c r="A67" s="15" t="s">
        <v>76</v>
      </c>
      <c r="B67" s="1" t="s">
        <v>410</v>
      </c>
      <c r="C67" s="1">
        <v>4867</v>
      </c>
      <c r="D67" s="1">
        <v>3886</v>
      </c>
      <c r="E67" s="1">
        <v>3129</v>
      </c>
      <c r="F67" s="23">
        <v>3903</v>
      </c>
      <c r="H67" s="1" t="str">
        <f t="shared" ref="H67:H98" si="15">B67</f>
        <v>应付职工薪酬(万元)</v>
      </c>
      <c r="I67" s="6">
        <f t="shared" si="10"/>
        <v>1.3725943640999029E-2</v>
      </c>
      <c r="J67" s="6">
        <f t="shared" si="11"/>
        <v>1.2963055625052122E-2</v>
      </c>
      <c r="K67" s="6">
        <f t="shared" si="12"/>
        <v>1.108827385803891E-2</v>
      </c>
      <c r="M67" s="1" t="str">
        <f t="shared" ref="M67:M98" si="16">B67</f>
        <v>应付职工薪酬(万元)</v>
      </c>
      <c r="N67" s="6">
        <f t="shared" si="7"/>
        <v>7.6351858383700844E-2</v>
      </c>
      <c r="O67" s="6">
        <f t="shared" si="13"/>
        <v>0.25244467318579522</v>
      </c>
      <c r="P67" s="6">
        <f t="shared" si="14"/>
        <v>0.24193032917865143</v>
      </c>
      <c r="Q67" s="11"/>
    </row>
    <row r="68" spans="1:17" ht="20.25" customHeight="1" x14ac:dyDescent="0.3">
      <c r="A68" s="15" t="s">
        <v>77</v>
      </c>
      <c r="B68" s="1" t="s">
        <v>411</v>
      </c>
      <c r="C68" s="1">
        <v>5844</v>
      </c>
      <c r="D68" s="1">
        <v>4653</v>
      </c>
      <c r="E68" s="1">
        <v>4214</v>
      </c>
      <c r="F68" s="23">
        <v>4399</v>
      </c>
      <c r="H68" s="1" t="str">
        <f t="shared" si="15"/>
        <v>应交税费(万元)</v>
      </c>
      <c r="I68" s="6">
        <f t="shared" ref="I68:I99" si="17">C68/C$111</f>
        <v>1.6481285111567358E-2</v>
      </c>
      <c r="J68" s="6">
        <f t="shared" ref="J68:J99" si="18">D68/D$111</f>
        <v>1.5521641230923193E-2</v>
      </c>
      <c r="K68" s="6">
        <f t="shared" ref="K68:K99" si="19">E68/E$111</f>
        <v>1.4933201034763812E-2</v>
      </c>
      <c r="M68" s="1" t="str">
        <f t="shared" si="16"/>
        <v>应交税费(万元)</v>
      </c>
      <c r="N68" s="6">
        <f t="shared" si="7"/>
        <v>9.9306379884416485E-2</v>
      </c>
      <c r="O68" s="6">
        <f t="shared" ref="O68:O99" si="20">IFERROR((C68/D68)-1,0)</f>
        <v>0.25596389426176658</v>
      </c>
      <c r="P68" s="6">
        <f t="shared" ref="P68:P99" si="21">IFERROR((D68/E68)-1,0)</f>
        <v>0.10417655434266737</v>
      </c>
      <c r="Q68" s="11"/>
    </row>
    <row r="69" spans="1:17" ht="20.25" customHeight="1" x14ac:dyDescent="0.3">
      <c r="A69" s="15" t="s">
        <v>78</v>
      </c>
      <c r="B69" s="1" t="s">
        <v>412</v>
      </c>
      <c r="C69" s="1">
        <v>0</v>
      </c>
      <c r="D69" s="1">
        <v>0</v>
      </c>
      <c r="E69" s="1">
        <v>0</v>
      </c>
      <c r="F69" s="23">
        <v>0</v>
      </c>
      <c r="H69" s="1" t="str">
        <f t="shared" si="15"/>
        <v>应付利息(万元)</v>
      </c>
      <c r="I69" s="6">
        <f t="shared" si="17"/>
        <v>0</v>
      </c>
      <c r="J69" s="6">
        <f t="shared" si="18"/>
        <v>0</v>
      </c>
      <c r="K69" s="6">
        <f t="shared" si="19"/>
        <v>0</v>
      </c>
      <c r="M69" s="1" t="str">
        <f t="shared" si="16"/>
        <v>应付利息(万元)</v>
      </c>
      <c r="N69" s="6">
        <f t="shared" ref="N69:N111" si="22">IFERROR(POWER(C69/F69,1/3)-1,0)</f>
        <v>0</v>
      </c>
      <c r="O69" s="6">
        <f t="shared" si="20"/>
        <v>0</v>
      </c>
      <c r="P69" s="6">
        <f t="shared" si="21"/>
        <v>0</v>
      </c>
      <c r="Q69" s="11"/>
    </row>
    <row r="70" spans="1:17" ht="20.25" customHeight="1" x14ac:dyDescent="0.3">
      <c r="A70" s="15" t="s">
        <v>79</v>
      </c>
      <c r="B70" s="1" t="s">
        <v>413</v>
      </c>
      <c r="C70" s="1">
        <v>123</v>
      </c>
      <c r="D70" s="1">
        <v>4088</v>
      </c>
      <c r="E70" s="1">
        <v>3312</v>
      </c>
      <c r="F70" s="23">
        <v>1684</v>
      </c>
      <c r="H70" s="1" t="str">
        <f t="shared" si="15"/>
        <v>应付股利(万元)</v>
      </c>
      <c r="I70" s="6">
        <f t="shared" si="17"/>
        <v>3.4688536425783452E-4</v>
      </c>
      <c r="J70" s="6">
        <f t="shared" si="18"/>
        <v>1.3636894337419731E-2</v>
      </c>
      <c r="K70" s="6">
        <f t="shared" si="19"/>
        <v>1.1736773096140898E-2</v>
      </c>
      <c r="M70" s="1" t="str">
        <f t="shared" si="16"/>
        <v>应付股利(万元)</v>
      </c>
      <c r="N70" s="6">
        <f t="shared" si="22"/>
        <v>-0.58198903433087557</v>
      </c>
      <c r="O70" s="6">
        <f t="shared" si="20"/>
        <v>-0.96991193737769077</v>
      </c>
      <c r="P70" s="6">
        <f t="shared" si="21"/>
        <v>0.23429951690821249</v>
      </c>
      <c r="Q70" s="11"/>
    </row>
    <row r="71" spans="1:17" ht="20.25" customHeight="1" x14ac:dyDescent="0.3">
      <c r="A71" s="15" t="s">
        <v>80</v>
      </c>
      <c r="B71" s="1" t="s">
        <v>414</v>
      </c>
      <c r="C71" s="1">
        <v>0</v>
      </c>
      <c r="D71" s="1">
        <v>0</v>
      </c>
      <c r="E71" s="1">
        <v>0</v>
      </c>
      <c r="F71" s="23">
        <v>0</v>
      </c>
      <c r="H71" s="1" t="str">
        <f t="shared" si="15"/>
        <v>其他应交款(万元)</v>
      </c>
      <c r="I71" s="6">
        <f t="shared" si="17"/>
        <v>0</v>
      </c>
      <c r="J71" s="6">
        <f t="shared" si="18"/>
        <v>0</v>
      </c>
      <c r="K71" s="6">
        <f t="shared" si="19"/>
        <v>0</v>
      </c>
      <c r="M71" s="1" t="str">
        <f t="shared" si="16"/>
        <v>其他应交款(万元)</v>
      </c>
      <c r="N71" s="6">
        <f t="shared" si="22"/>
        <v>0</v>
      </c>
      <c r="O71" s="6">
        <f t="shared" si="20"/>
        <v>0</v>
      </c>
      <c r="P71" s="6">
        <f t="shared" si="21"/>
        <v>0</v>
      </c>
      <c r="Q71" s="11"/>
    </row>
    <row r="72" spans="1:17" ht="20.25" customHeight="1" x14ac:dyDescent="0.3">
      <c r="A72" s="15" t="s">
        <v>81</v>
      </c>
      <c r="B72" s="1" t="s">
        <v>415</v>
      </c>
      <c r="C72" s="1">
        <v>0</v>
      </c>
      <c r="D72" s="1">
        <v>0</v>
      </c>
      <c r="E72" s="1">
        <v>0</v>
      </c>
      <c r="F72" s="23">
        <v>0</v>
      </c>
      <c r="H72" s="1" t="str">
        <f t="shared" si="15"/>
        <v>应付保证金(万元)</v>
      </c>
      <c r="I72" s="6">
        <f t="shared" si="17"/>
        <v>0</v>
      </c>
      <c r="J72" s="6">
        <f t="shared" si="18"/>
        <v>0</v>
      </c>
      <c r="K72" s="6">
        <f t="shared" si="19"/>
        <v>0</v>
      </c>
      <c r="M72" s="1" t="str">
        <f t="shared" si="16"/>
        <v>应付保证金(万元)</v>
      </c>
      <c r="N72" s="6">
        <f t="shared" si="22"/>
        <v>0</v>
      </c>
      <c r="O72" s="6">
        <f t="shared" si="20"/>
        <v>0</v>
      </c>
      <c r="P72" s="6">
        <f t="shared" si="21"/>
        <v>0</v>
      </c>
      <c r="Q72" s="11"/>
    </row>
    <row r="73" spans="1:17" ht="20.25" customHeight="1" x14ac:dyDescent="0.3">
      <c r="A73" s="15" t="s">
        <v>82</v>
      </c>
      <c r="B73" s="1" t="s">
        <v>416</v>
      </c>
      <c r="C73" s="1">
        <v>0</v>
      </c>
      <c r="D73" s="1">
        <v>0</v>
      </c>
      <c r="E73" s="1">
        <v>0</v>
      </c>
      <c r="F73" s="23">
        <v>0</v>
      </c>
      <c r="H73" s="1" t="str">
        <f t="shared" si="15"/>
        <v>内部应付款(万元)</v>
      </c>
      <c r="I73" s="6">
        <f t="shared" si="17"/>
        <v>0</v>
      </c>
      <c r="J73" s="6">
        <f t="shared" si="18"/>
        <v>0</v>
      </c>
      <c r="K73" s="6">
        <f t="shared" si="19"/>
        <v>0</v>
      </c>
      <c r="M73" s="1" t="str">
        <f t="shared" si="16"/>
        <v>内部应付款(万元)</v>
      </c>
      <c r="N73" s="6">
        <f t="shared" si="22"/>
        <v>0</v>
      </c>
      <c r="O73" s="6">
        <f t="shared" si="20"/>
        <v>0</v>
      </c>
      <c r="P73" s="6">
        <f t="shared" si="21"/>
        <v>0</v>
      </c>
      <c r="Q73" s="11"/>
    </row>
    <row r="74" spans="1:17" ht="20.25" customHeight="1" x14ac:dyDescent="0.3">
      <c r="A74" s="15" t="s">
        <v>83</v>
      </c>
      <c r="B74" s="1" t="s">
        <v>417</v>
      </c>
      <c r="C74" s="1">
        <v>25051</v>
      </c>
      <c r="D74" s="1">
        <v>16752</v>
      </c>
      <c r="E74" s="1">
        <v>9963</v>
      </c>
      <c r="F74" s="23">
        <v>4324</v>
      </c>
      <c r="H74" s="1" t="str">
        <f t="shared" si="15"/>
        <v>其他应付款(万元)</v>
      </c>
      <c r="I74" s="6">
        <f t="shared" si="17"/>
        <v>7.0648985853845631E-2</v>
      </c>
      <c r="J74" s="6">
        <f t="shared" si="18"/>
        <v>5.5881911433575182E-2</v>
      </c>
      <c r="K74" s="6">
        <f t="shared" si="19"/>
        <v>3.5305999503880366E-2</v>
      </c>
      <c r="M74" s="1" t="str">
        <f t="shared" si="16"/>
        <v>其他应付款(万元)</v>
      </c>
      <c r="N74" s="6">
        <f t="shared" si="22"/>
        <v>0.79602810012259018</v>
      </c>
      <c r="O74" s="6">
        <f t="shared" si="20"/>
        <v>0.49540353390639913</v>
      </c>
      <c r="P74" s="6">
        <f t="shared" si="21"/>
        <v>0.68142125865703096</v>
      </c>
      <c r="Q74" s="11"/>
    </row>
    <row r="75" spans="1:17" ht="20.25" customHeight="1" x14ac:dyDescent="0.3">
      <c r="A75" s="15" t="s">
        <v>84</v>
      </c>
      <c r="B75" s="1" t="s">
        <v>418</v>
      </c>
      <c r="C75" s="1">
        <v>0</v>
      </c>
      <c r="D75" s="1">
        <v>0</v>
      </c>
      <c r="E75" s="1">
        <v>0</v>
      </c>
      <c r="F75" s="23">
        <v>0</v>
      </c>
      <c r="H75" s="1" t="str">
        <f t="shared" si="15"/>
        <v>预提费用(万元)</v>
      </c>
      <c r="I75" s="6">
        <f t="shared" si="17"/>
        <v>0</v>
      </c>
      <c r="J75" s="6">
        <f t="shared" si="18"/>
        <v>0</v>
      </c>
      <c r="K75" s="6">
        <f t="shared" si="19"/>
        <v>0</v>
      </c>
      <c r="M75" s="1" t="str">
        <f t="shared" si="16"/>
        <v>预提费用(万元)</v>
      </c>
      <c r="N75" s="6">
        <f t="shared" si="22"/>
        <v>0</v>
      </c>
      <c r="O75" s="6">
        <f t="shared" si="20"/>
        <v>0</v>
      </c>
      <c r="P75" s="6">
        <f t="shared" si="21"/>
        <v>0</v>
      </c>
      <c r="Q75" s="11"/>
    </row>
    <row r="76" spans="1:17" ht="20.25" customHeight="1" x14ac:dyDescent="0.3">
      <c r="A76" s="15" t="s">
        <v>85</v>
      </c>
      <c r="B76" s="1" t="s">
        <v>419</v>
      </c>
      <c r="C76" s="1">
        <v>0</v>
      </c>
      <c r="D76" s="1">
        <v>0</v>
      </c>
      <c r="E76" s="1">
        <v>0</v>
      </c>
      <c r="F76" s="23">
        <v>0</v>
      </c>
      <c r="H76" s="1" t="str">
        <f t="shared" si="15"/>
        <v>预计流动负债(万元)</v>
      </c>
      <c r="I76" s="6">
        <f t="shared" si="17"/>
        <v>0</v>
      </c>
      <c r="J76" s="6">
        <f t="shared" si="18"/>
        <v>0</v>
      </c>
      <c r="K76" s="6">
        <f t="shared" si="19"/>
        <v>0</v>
      </c>
      <c r="M76" s="1" t="str">
        <f t="shared" si="16"/>
        <v>预计流动负债(万元)</v>
      </c>
      <c r="N76" s="6">
        <f t="shared" si="22"/>
        <v>0</v>
      </c>
      <c r="O76" s="6">
        <f t="shared" si="20"/>
        <v>0</v>
      </c>
      <c r="P76" s="6">
        <f t="shared" si="21"/>
        <v>0</v>
      </c>
      <c r="Q76" s="11"/>
    </row>
    <row r="77" spans="1:17" ht="20.25" customHeight="1" x14ac:dyDescent="0.3">
      <c r="A77" s="15" t="s">
        <v>86</v>
      </c>
      <c r="B77" s="1" t="s">
        <v>420</v>
      </c>
      <c r="C77" s="1">
        <v>0</v>
      </c>
      <c r="D77" s="1">
        <v>0</v>
      </c>
      <c r="E77" s="1">
        <v>0</v>
      </c>
      <c r="F77" s="23">
        <v>0</v>
      </c>
      <c r="H77" s="1" t="str">
        <f t="shared" si="15"/>
        <v>应付分保账款(万元)</v>
      </c>
      <c r="I77" s="6">
        <f t="shared" si="17"/>
        <v>0</v>
      </c>
      <c r="J77" s="6">
        <f t="shared" si="18"/>
        <v>0</v>
      </c>
      <c r="K77" s="6">
        <f t="shared" si="19"/>
        <v>0</v>
      </c>
      <c r="M77" s="1" t="str">
        <f t="shared" si="16"/>
        <v>应付分保账款(万元)</v>
      </c>
      <c r="N77" s="6">
        <f t="shared" si="22"/>
        <v>0</v>
      </c>
      <c r="O77" s="6">
        <f t="shared" si="20"/>
        <v>0</v>
      </c>
      <c r="P77" s="6">
        <f t="shared" si="21"/>
        <v>0</v>
      </c>
      <c r="Q77" s="11"/>
    </row>
    <row r="78" spans="1:17" ht="20.25" customHeight="1" x14ac:dyDescent="0.3">
      <c r="A78" s="15" t="s">
        <v>87</v>
      </c>
      <c r="B78" s="1" t="s">
        <v>421</v>
      </c>
      <c r="C78" s="1">
        <v>0</v>
      </c>
      <c r="D78" s="1">
        <v>0</v>
      </c>
      <c r="E78" s="1">
        <v>0</v>
      </c>
      <c r="F78" s="23">
        <v>0</v>
      </c>
      <c r="H78" s="1" t="str">
        <f t="shared" si="15"/>
        <v>保险合同准备金(万元)</v>
      </c>
      <c r="I78" s="6">
        <f t="shared" si="17"/>
        <v>0</v>
      </c>
      <c r="J78" s="6">
        <f t="shared" si="18"/>
        <v>0</v>
      </c>
      <c r="K78" s="6">
        <f t="shared" si="19"/>
        <v>0</v>
      </c>
      <c r="M78" s="1" t="str">
        <f t="shared" si="16"/>
        <v>保险合同准备金(万元)</v>
      </c>
      <c r="N78" s="6">
        <f t="shared" si="22"/>
        <v>0</v>
      </c>
      <c r="O78" s="6">
        <f t="shared" si="20"/>
        <v>0</v>
      </c>
      <c r="P78" s="6">
        <f t="shared" si="21"/>
        <v>0</v>
      </c>
      <c r="Q78" s="11"/>
    </row>
    <row r="79" spans="1:17" ht="20.25" customHeight="1" x14ac:dyDescent="0.3">
      <c r="A79" s="15" t="s">
        <v>88</v>
      </c>
      <c r="B79" s="1" t="s">
        <v>422</v>
      </c>
      <c r="C79" s="1">
        <v>0</v>
      </c>
      <c r="D79" s="1">
        <v>0</v>
      </c>
      <c r="E79" s="1">
        <v>0</v>
      </c>
      <c r="F79" s="23">
        <v>0</v>
      </c>
      <c r="H79" s="1" t="str">
        <f t="shared" si="15"/>
        <v>代理买卖证券款(万元)</v>
      </c>
      <c r="I79" s="6">
        <f t="shared" si="17"/>
        <v>0</v>
      </c>
      <c r="J79" s="6">
        <f t="shared" si="18"/>
        <v>0</v>
      </c>
      <c r="K79" s="6">
        <f t="shared" si="19"/>
        <v>0</v>
      </c>
      <c r="M79" s="1" t="str">
        <f t="shared" si="16"/>
        <v>代理买卖证券款(万元)</v>
      </c>
      <c r="N79" s="6">
        <f t="shared" si="22"/>
        <v>0</v>
      </c>
      <c r="O79" s="6">
        <f t="shared" si="20"/>
        <v>0</v>
      </c>
      <c r="P79" s="6">
        <f t="shared" si="21"/>
        <v>0</v>
      </c>
      <c r="Q79" s="11"/>
    </row>
    <row r="80" spans="1:17" ht="20.25" customHeight="1" x14ac:dyDescent="0.3">
      <c r="A80" s="15" t="s">
        <v>89</v>
      </c>
      <c r="B80" s="1" t="s">
        <v>423</v>
      </c>
      <c r="C80" s="1">
        <v>0</v>
      </c>
      <c r="D80" s="1">
        <v>0</v>
      </c>
      <c r="E80" s="1">
        <v>0</v>
      </c>
      <c r="F80" s="23">
        <v>0</v>
      </c>
      <c r="H80" s="1" t="str">
        <f t="shared" si="15"/>
        <v>代理承销证券款(万元)</v>
      </c>
      <c r="I80" s="6">
        <f t="shared" si="17"/>
        <v>0</v>
      </c>
      <c r="J80" s="6">
        <f t="shared" si="18"/>
        <v>0</v>
      </c>
      <c r="K80" s="6">
        <f t="shared" si="19"/>
        <v>0</v>
      </c>
      <c r="M80" s="1" t="str">
        <f t="shared" si="16"/>
        <v>代理承销证券款(万元)</v>
      </c>
      <c r="N80" s="6">
        <f t="shared" si="22"/>
        <v>0</v>
      </c>
      <c r="O80" s="6">
        <f t="shared" si="20"/>
        <v>0</v>
      </c>
      <c r="P80" s="6">
        <f t="shared" si="21"/>
        <v>0</v>
      </c>
      <c r="Q80" s="11"/>
    </row>
    <row r="81" spans="1:17" ht="20.25" customHeight="1" x14ac:dyDescent="0.3">
      <c r="A81" s="15" t="s">
        <v>90</v>
      </c>
      <c r="B81" s="1" t="s">
        <v>424</v>
      </c>
      <c r="C81" s="1">
        <v>0</v>
      </c>
      <c r="D81" s="1">
        <v>0</v>
      </c>
      <c r="E81" s="1">
        <v>0</v>
      </c>
      <c r="F81" s="23">
        <v>0</v>
      </c>
      <c r="H81" s="1" t="str">
        <f t="shared" si="15"/>
        <v>国际票证结算(万元)</v>
      </c>
      <c r="I81" s="6">
        <f t="shared" si="17"/>
        <v>0</v>
      </c>
      <c r="J81" s="6">
        <f t="shared" si="18"/>
        <v>0</v>
      </c>
      <c r="K81" s="6">
        <f t="shared" si="19"/>
        <v>0</v>
      </c>
      <c r="M81" s="1" t="str">
        <f t="shared" si="16"/>
        <v>国际票证结算(万元)</v>
      </c>
      <c r="N81" s="6">
        <f t="shared" si="22"/>
        <v>0</v>
      </c>
      <c r="O81" s="6">
        <f t="shared" si="20"/>
        <v>0</v>
      </c>
      <c r="P81" s="6">
        <f t="shared" si="21"/>
        <v>0</v>
      </c>
      <c r="Q81" s="11"/>
    </row>
    <row r="82" spans="1:17" ht="20.25" customHeight="1" x14ac:dyDescent="0.3">
      <c r="A82" s="15" t="s">
        <v>91</v>
      </c>
      <c r="B82" s="1" t="s">
        <v>425</v>
      </c>
      <c r="C82" s="1">
        <v>0</v>
      </c>
      <c r="D82" s="1">
        <v>0</v>
      </c>
      <c r="E82" s="1">
        <v>0</v>
      </c>
      <c r="F82" s="23">
        <v>0</v>
      </c>
      <c r="H82" s="1" t="str">
        <f t="shared" si="15"/>
        <v>国内票证结算(万元)</v>
      </c>
      <c r="I82" s="6">
        <f t="shared" si="17"/>
        <v>0</v>
      </c>
      <c r="J82" s="6">
        <f t="shared" si="18"/>
        <v>0</v>
      </c>
      <c r="K82" s="6">
        <f t="shared" si="19"/>
        <v>0</v>
      </c>
      <c r="M82" s="1" t="str">
        <f t="shared" si="16"/>
        <v>国内票证结算(万元)</v>
      </c>
      <c r="N82" s="6">
        <f t="shared" si="22"/>
        <v>0</v>
      </c>
      <c r="O82" s="6">
        <f t="shared" si="20"/>
        <v>0</v>
      </c>
      <c r="P82" s="6">
        <f t="shared" si="21"/>
        <v>0</v>
      </c>
      <c r="Q82" s="11"/>
    </row>
    <row r="83" spans="1:17" ht="20.25" customHeight="1" x14ac:dyDescent="0.3">
      <c r="A83" s="15" t="s">
        <v>92</v>
      </c>
      <c r="B83" s="1" t="s">
        <v>426</v>
      </c>
      <c r="C83" s="1">
        <v>0</v>
      </c>
      <c r="D83" s="1">
        <v>0</v>
      </c>
      <c r="E83" s="1">
        <v>0</v>
      </c>
      <c r="F83" s="23">
        <v>0</v>
      </c>
      <c r="H83" s="1" t="str">
        <f t="shared" si="15"/>
        <v>递延收益(万元)</v>
      </c>
      <c r="I83" s="6">
        <f t="shared" si="17"/>
        <v>0</v>
      </c>
      <c r="J83" s="6">
        <f t="shared" si="18"/>
        <v>0</v>
      </c>
      <c r="K83" s="6">
        <f t="shared" si="19"/>
        <v>0</v>
      </c>
      <c r="M83" s="1" t="str">
        <f t="shared" si="16"/>
        <v>递延收益(万元)</v>
      </c>
      <c r="N83" s="6">
        <f t="shared" si="22"/>
        <v>0</v>
      </c>
      <c r="O83" s="6">
        <f t="shared" si="20"/>
        <v>0</v>
      </c>
      <c r="P83" s="6">
        <f t="shared" si="21"/>
        <v>0</v>
      </c>
      <c r="Q83" s="11"/>
    </row>
    <row r="84" spans="1:17" ht="20.25" customHeight="1" x14ac:dyDescent="0.3">
      <c r="A84" s="15" t="s">
        <v>93</v>
      </c>
      <c r="B84" s="1" t="s">
        <v>427</v>
      </c>
      <c r="C84" s="1">
        <v>0</v>
      </c>
      <c r="D84" s="1">
        <v>0</v>
      </c>
      <c r="E84" s="1">
        <v>0</v>
      </c>
      <c r="F84" s="23">
        <v>0</v>
      </c>
      <c r="H84" s="1" t="str">
        <f t="shared" si="15"/>
        <v>应付短期债券(万元)</v>
      </c>
      <c r="I84" s="6">
        <f t="shared" si="17"/>
        <v>0</v>
      </c>
      <c r="J84" s="6">
        <f t="shared" si="18"/>
        <v>0</v>
      </c>
      <c r="K84" s="6">
        <f t="shared" si="19"/>
        <v>0</v>
      </c>
      <c r="M84" s="1" t="str">
        <f t="shared" si="16"/>
        <v>应付短期债券(万元)</v>
      </c>
      <c r="N84" s="6">
        <f t="shared" si="22"/>
        <v>0</v>
      </c>
      <c r="O84" s="6">
        <f t="shared" si="20"/>
        <v>0</v>
      </c>
      <c r="P84" s="6">
        <f t="shared" si="21"/>
        <v>0</v>
      </c>
      <c r="Q84" s="11"/>
    </row>
    <row r="85" spans="1:17" ht="20.25" customHeight="1" x14ac:dyDescent="0.3">
      <c r="A85" s="15" t="s">
        <v>94</v>
      </c>
      <c r="B85" s="1" t="s">
        <v>428</v>
      </c>
      <c r="C85" s="1">
        <v>0</v>
      </c>
      <c r="D85" s="1">
        <v>0</v>
      </c>
      <c r="E85" s="1">
        <v>0</v>
      </c>
      <c r="F85" s="23">
        <v>0</v>
      </c>
      <c r="H85" s="1" t="str">
        <f t="shared" si="15"/>
        <v>一年内到期的非流动负债(万元)</v>
      </c>
      <c r="I85" s="6">
        <f t="shared" si="17"/>
        <v>0</v>
      </c>
      <c r="J85" s="6">
        <f t="shared" si="18"/>
        <v>0</v>
      </c>
      <c r="K85" s="6">
        <f t="shared" si="19"/>
        <v>0</v>
      </c>
      <c r="M85" s="1" t="str">
        <f t="shared" si="16"/>
        <v>一年内到期的非流动负债(万元)</v>
      </c>
      <c r="N85" s="6">
        <f t="shared" si="22"/>
        <v>0</v>
      </c>
      <c r="O85" s="6">
        <f t="shared" si="20"/>
        <v>0</v>
      </c>
      <c r="P85" s="6">
        <f t="shared" si="21"/>
        <v>0</v>
      </c>
      <c r="Q85" s="11"/>
    </row>
    <row r="86" spans="1:17" ht="20.25" customHeight="1" x14ac:dyDescent="0.3">
      <c r="A86" s="15" t="s">
        <v>95</v>
      </c>
      <c r="B86" s="1" t="s">
        <v>429</v>
      </c>
      <c r="C86" s="1">
        <v>115</v>
      </c>
      <c r="D86" s="1">
        <v>148</v>
      </c>
      <c r="E86" s="1">
        <v>181</v>
      </c>
      <c r="F86" s="23">
        <v>170</v>
      </c>
      <c r="H86" s="1" t="str">
        <f t="shared" si="15"/>
        <v>其他流动负债(万元)</v>
      </c>
      <c r="I86" s="6">
        <f t="shared" si="17"/>
        <v>3.2432371455000787E-4</v>
      </c>
      <c r="J86" s="6">
        <f t="shared" si="18"/>
        <v>4.9370361104161451E-4</v>
      </c>
      <c r="K86" s="6">
        <f t="shared" si="19"/>
        <v>6.4141181473475323E-4</v>
      </c>
      <c r="M86" s="1" t="str">
        <f t="shared" si="16"/>
        <v>其他流动负债(万元)</v>
      </c>
      <c r="N86" s="6">
        <f t="shared" si="22"/>
        <v>-0.12215809970499025</v>
      </c>
      <c r="O86" s="6">
        <f t="shared" si="20"/>
        <v>-0.22297297297297303</v>
      </c>
      <c r="P86" s="6">
        <f t="shared" si="21"/>
        <v>-0.18232044198895025</v>
      </c>
      <c r="Q86" s="11"/>
    </row>
    <row r="87" spans="1:17" ht="20.25" customHeight="1" x14ac:dyDescent="0.3">
      <c r="A87" s="15" t="s">
        <v>96</v>
      </c>
      <c r="B87" s="1" t="s">
        <v>430</v>
      </c>
      <c r="C87" s="1">
        <v>70099</v>
      </c>
      <c r="D87" s="1">
        <v>59821</v>
      </c>
      <c r="E87" s="1">
        <v>48980</v>
      </c>
      <c r="F87" s="23">
        <v>40308</v>
      </c>
      <c r="H87" s="1" t="str">
        <f t="shared" si="15"/>
        <v>流动负债合计(万元)</v>
      </c>
      <c r="I87" s="6">
        <f t="shared" si="17"/>
        <v>0.19769363535861742</v>
      </c>
      <c r="J87" s="6">
        <f t="shared" si="18"/>
        <v>0.19955299808189475</v>
      </c>
      <c r="K87" s="6">
        <f t="shared" si="19"/>
        <v>0.17357099826358127</v>
      </c>
      <c r="M87" s="1" t="str">
        <f t="shared" si="16"/>
        <v>流动负债合计(万元)</v>
      </c>
      <c r="N87" s="6">
        <f t="shared" si="22"/>
        <v>0.20256028652064728</v>
      </c>
      <c r="O87" s="6">
        <f t="shared" si="20"/>
        <v>0.17181257417963591</v>
      </c>
      <c r="P87" s="6">
        <f t="shared" si="21"/>
        <v>0.22133523887300943</v>
      </c>
      <c r="Q87" s="11"/>
    </row>
    <row r="88" spans="1:17" ht="20.25" customHeight="1" x14ac:dyDescent="0.3">
      <c r="A88" s="15" t="s">
        <v>97</v>
      </c>
      <c r="B88" s="1" t="s">
        <v>431</v>
      </c>
      <c r="C88" s="1">
        <v>0</v>
      </c>
      <c r="D88" s="1">
        <v>0</v>
      </c>
      <c r="E88" s="1">
        <v>0</v>
      </c>
      <c r="F88" s="23">
        <v>0</v>
      </c>
      <c r="H88" s="1" t="str">
        <f t="shared" si="15"/>
        <v>长期借款(万元)</v>
      </c>
      <c r="I88" s="6">
        <f t="shared" si="17"/>
        <v>0</v>
      </c>
      <c r="J88" s="6">
        <f t="shared" si="18"/>
        <v>0</v>
      </c>
      <c r="K88" s="6">
        <f t="shared" si="19"/>
        <v>0</v>
      </c>
      <c r="M88" s="1" t="str">
        <f t="shared" si="16"/>
        <v>长期借款(万元)</v>
      </c>
      <c r="N88" s="6">
        <f t="shared" si="22"/>
        <v>0</v>
      </c>
      <c r="O88" s="6">
        <f t="shared" si="20"/>
        <v>0</v>
      </c>
      <c r="P88" s="6">
        <f t="shared" si="21"/>
        <v>0</v>
      </c>
      <c r="Q88" s="11"/>
    </row>
    <row r="89" spans="1:17" ht="20.25" customHeight="1" x14ac:dyDescent="0.3">
      <c r="A89" s="15" t="s">
        <v>98</v>
      </c>
      <c r="B89" s="1" t="s">
        <v>432</v>
      </c>
      <c r="C89" s="1">
        <v>0</v>
      </c>
      <c r="D89" s="1">
        <v>0</v>
      </c>
      <c r="E89" s="1">
        <v>0</v>
      </c>
      <c r="F89" s="23">
        <v>0</v>
      </c>
      <c r="H89" s="1" t="str">
        <f t="shared" si="15"/>
        <v>应付债券(万元)</v>
      </c>
      <c r="I89" s="6">
        <f t="shared" si="17"/>
        <v>0</v>
      </c>
      <c r="J89" s="6">
        <f t="shared" si="18"/>
        <v>0</v>
      </c>
      <c r="K89" s="6">
        <f t="shared" si="19"/>
        <v>0</v>
      </c>
      <c r="M89" s="1" t="str">
        <f t="shared" si="16"/>
        <v>应付债券(万元)</v>
      </c>
      <c r="N89" s="6">
        <f t="shared" si="22"/>
        <v>0</v>
      </c>
      <c r="O89" s="6">
        <f t="shared" si="20"/>
        <v>0</v>
      </c>
      <c r="P89" s="6">
        <f t="shared" si="21"/>
        <v>0</v>
      </c>
      <c r="Q89" s="11"/>
    </row>
    <row r="90" spans="1:17" ht="20.25" customHeight="1" x14ac:dyDescent="0.3">
      <c r="A90" s="15" t="s">
        <v>99</v>
      </c>
      <c r="B90" s="1" t="s">
        <v>433</v>
      </c>
      <c r="C90" s="1">
        <v>0</v>
      </c>
      <c r="D90" s="1">
        <v>0</v>
      </c>
      <c r="E90" s="1">
        <v>0</v>
      </c>
      <c r="F90" s="23">
        <v>0</v>
      </c>
      <c r="H90" s="1" t="str">
        <f t="shared" si="15"/>
        <v>长期应付款(万元)</v>
      </c>
      <c r="I90" s="6">
        <f t="shared" si="17"/>
        <v>0</v>
      </c>
      <c r="J90" s="6">
        <f t="shared" si="18"/>
        <v>0</v>
      </c>
      <c r="K90" s="6">
        <f t="shared" si="19"/>
        <v>0</v>
      </c>
      <c r="M90" s="1" t="str">
        <f t="shared" si="16"/>
        <v>长期应付款(万元)</v>
      </c>
      <c r="N90" s="6">
        <f t="shared" si="22"/>
        <v>0</v>
      </c>
      <c r="O90" s="6">
        <f t="shared" si="20"/>
        <v>0</v>
      </c>
      <c r="P90" s="6">
        <f t="shared" si="21"/>
        <v>0</v>
      </c>
      <c r="Q90" s="11"/>
    </row>
    <row r="91" spans="1:17" ht="20.25" customHeight="1" x14ac:dyDescent="0.3">
      <c r="A91" s="15" t="s">
        <v>100</v>
      </c>
      <c r="B91" s="1" t="s">
        <v>434</v>
      </c>
      <c r="C91" s="1">
        <v>0</v>
      </c>
      <c r="D91" s="1">
        <v>0</v>
      </c>
      <c r="E91" s="1">
        <v>0</v>
      </c>
      <c r="F91" s="23">
        <v>0</v>
      </c>
      <c r="H91" s="1" t="str">
        <f t="shared" si="15"/>
        <v>专项应付款(万元)</v>
      </c>
      <c r="I91" s="6">
        <f t="shared" si="17"/>
        <v>0</v>
      </c>
      <c r="J91" s="6">
        <f t="shared" si="18"/>
        <v>0</v>
      </c>
      <c r="K91" s="6">
        <f t="shared" si="19"/>
        <v>0</v>
      </c>
      <c r="M91" s="1" t="str">
        <f t="shared" si="16"/>
        <v>专项应付款(万元)</v>
      </c>
      <c r="N91" s="6">
        <f t="shared" si="22"/>
        <v>0</v>
      </c>
      <c r="O91" s="6">
        <f t="shared" si="20"/>
        <v>0</v>
      </c>
      <c r="P91" s="6">
        <f t="shared" si="21"/>
        <v>0</v>
      </c>
      <c r="Q91" s="11"/>
    </row>
    <row r="92" spans="1:17" ht="20.25" customHeight="1" x14ac:dyDescent="0.3">
      <c r="A92" s="15" t="s">
        <v>101</v>
      </c>
      <c r="B92" s="1" t="s">
        <v>435</v>
      </c>
      <c r="C92" s="1">
        <v>0</v>
      </c>
      <c r="D92" s="1">
        <v>0</v>
      </c>
      <c r="E92" s="1">
        <v>0</v>
      </c>
      <c r="F92" s="23">
        <v>0</v>
      </c>
      <c r="H92" s="1" t="str">
        <f t="shared" si="15"/>
        <v>预计非流动负债(万元)</v>
      </c>
      <c r="I92" s="6">
        <f t="shared" si="17"/>
        <v>0</v>
      </c>
      <c r="J92" s="6">
        <f t="shared" si="18"/>
        <v>0</v>
      </c>
      <c r="K92" s="6">
        <f t="shared" si="19"/>
        <v>0</v>
      </c>
      <c r="M92" s="1" t="str">
        <f t="shared" si="16"/>
        <v>预计非流动负债(万元)</v>
      </c>
      <c r="N92" s="6">
        <f t="shared" si="22"/>
        <v>0</v>
      </c>
      <c r="O92" s="6">
        <f t="shared" si="20"/>
        <v>0</v>
      </c>
      <c r="P92" s="6">
        <f t="shared" si="21"/>
        <v>0</v>
      </c>
      <c r="Q92" s="11"/>
    </row>
    <row r="93" spans="1:17" ht="20.25" customHeight="1" x14ac:dyDescent="0.3">
      <c r="A93" s="15" t="s">
        <v>102</v>
      </c>
      <c r="B93" s="1" t="s">
        <v>436</v>
      </c>
      <c r="C93" s="1">
        <v>1977</v>
      </c>
      <c r="D93" s="1">
        <v>2776</v>
      </c>
      <c r="E93" s="1">
        <v>2403</v>
      </c>
      <c r="F93" s="23">
        <v>0</v>
      </c>
      <c r="H93" s="1" t="str">
        <f t="shared" si="15"/>
        <v>长期递延收益(万元)</v>
      </c>
      <c r="I93" s="6">
        <f t="shared" si="17"/>
        <v>5.5755476840466571E-3</v>
      </c>
      <c r="J93" s="6">
        <f t="shared" si="18"/>
        <v>9.2602785422400136E-3</v>
      </c>
      <c r="K93" s="6">
        <f t="shared" si="19"/>
        <v>8.5155391757326619E-3</v>
      </c>
      <c r="M93" s="1" t="str">
        <f t="shared" si="16"/>
        <v>长期递延收益(万元)</v>
      </c>
      <c r="N93" s="6">
        <f t="shared" si="22"/>
        <v>0</v>
      </c>
      <c r="O93" s="6">
        <f t="shared" si="20"/>
        <v>-0.28782420749279536</v>
      </c>
      <c r="P93" s="6">
        <f t="shared" si="21"/>
        <v>0.15522263836870587</v>
      </c>
      <c r="Q93" s="11"/>
    </row>
    <row r="94" spans="1:17" ht="20.25" customHeight="1" x14ac:dyDescent="0.3">
      <c r="A94" s="15" t="s">
        <v>103</v>
      </c>
      <c r="B94" s="1" t="s">
        <v>437</v>
      </c>
      <c r="C94" s="1">
        <v>0</v>
      </c>
      <c r="D94" s="1">
        <v>0</v>
      </c>
      <c r="E94" s="1">
        <v>0</v>
      </c>
      <c r="F94" s="23">
        <v>0</v>
      </c>
      <c r="H94" s="1" t="str">
        <f t="shared" si="15"/>
        <v>递延所得税负债(万元)</v>
      </c>
      <c r="I94" s="6">
        <f t="shared" si="17"/>
        <v>0</v>
      </c>
      <c r="J94" s="6">
        <f t="shared" si="18"/>
        <v>0</v>
      </c>
      <c r="K94" s="6">
        <f t="shared" si="19"/>
        <v>0</v>
      </c>
      <c r="M94" s="1" t="str">
        <f t="shared" si="16"/>
        <v>递延所得税负债(万元)</v>
      </c>
      <c r="N94" s="6">
        <f t="shared" si="22"/>
        <v>0</v>
      </c>
      <c r="O94" s="6">
        <f t="shared" si="20"/>
        <v>0</v>
      </c>
      <c r="P94" s="6">
        <f t="shared" si="21"/>
        <v>0</v>
      </c>
      <c r="Q94" s="11"/>
    </row>
    <row r="95" spans="1:17" ht="20.25" customHeight="1" x14ac:dyDescent="0.3">
      <c r="A95" s="15" t="s">
        <v>104</v>
      </c>
      <c r="B95" s="1" t="s">
        <v>438</v>
      </c>
      <c r="C95" s="1">
        <v>0</v>
      </c>
      <c r="D95" s="1">
        <v>0</v>
      </c>
      <c r="E95" s="1">
        <v>0</v>
      </c>
      <c r="F95" s="23">
        <v>1596</v>
      </c>
      <c r="H95" s="1" t="str">
        <f t="shared" si="15"/>
        <v>其他非流动负债(万元)</v>
      </c>
      <c r="I95" s="6">
        <f t="shared" si="17"/>
        <v>0</v>
      </c>
      <c r="J95" s="6">
        <f t="shared" si="18"/>
        <v>0</v>
      </c>
      <c r="K95" s="6">
        <f t="shared" si="19"/>
        <v>0</v>
      </c>
      <c r="M95" s="1" t="str">
        <f t="shared" si="16"/>
        <v>其他非流动负债(万元)</v>
      </c>
      <c r="N95" s="6">
        <f t="shared" si="22"/>
        <v>-1</v>
      </c>
      <c r="O95" s="6">
        <f t="shared" si="20"/>
        <v>0</v>
      </c>
      <c r="P95" s="6">
        <f t="shared" si="21"/>
        <v>0</v>
      </c>
      <c r="Q95" s="11"/>
    </row>
    <row r="96" spans="1:17" ht="20.25" customHeight="1" x14ac:dyDescent="0.3">
      <c r="A96" s="15" t="s">
        <v>105</v>
      </c>
      <c r="B96" s="1" t="s">
        <v>439</v>
      </c>
      <c r="C96" s="1">
        <v>1977</v>
      </c>
      <c r="D96" s="1">
        <v>2776</v>
      </c>
      <c r="E96" s="1">
        <v>2403</v>
      </c>
      <c r="F96" s="23">
        <v>1596</v>
      </c>
      <c r="H96" s="1" t="str">
        <f t="shared" si="15"/>
        <v>非流动负债合计(万元)</v>
      </c>
      <c r="I96" s="6">
        <f t="shared" si="17"/>
        <v>5.5755476840466571E-3</v>
      </c>
      <c r="J96" s="6">
        <f t="shared" si="18"/>
        <v>9.2602785422400136E-3</v>
      </c>
      <c r="K96" s="6">
        <f t="shared" si="19"/>
        <v>8.5155391757326619E-3</v>
      </c>
      <c r="M96" s="1" t="str">
        <f t="shared" si="16"/>
        <v>非流动负债合计(万元)</v>
      </c>
      <c r="N96" s="6">
        <f t="shared" si="22"/>
        <v>7.3967800853186327E-2</v>
      </c>
      <c r="O96" s="6">
        <f t="shared" si="20"/>
        <v>-0.28782420749279536</v>
      </c>
      <c r="P96" s="6">
        <f t="shared" si="21"/>
        <v>0.15522263836870587</v>
      </c>
      <c r="Q96" s="11"/>
    </row>
    <row r="97" spans="1:17" ht="20.25" customHeight="1" x14ac:dyDescent="0.3">
      <c r="A97" s="15" t="s">
        <v>106</v>
      </c>
      <c r="B97" s="1" t="s">
        <v>440</v>
      </c>
      <c r="C97" s="1">
        <v>72076</v>
      </c>
      <c r="D97" s="1">
        <v>62597</v>
      </c>
      <c r="E97" s="1">
        <v>51384</v>
      </c>
      <c r="F97" s="23">
        <v>41904</v>
      </c>
      <c r="H97" s="1" t="str">
        <f t="shared" si="15"/>
        <v>负债合计(万元)</v>
      </c>
      <c r="I97" s="6">
        <f t="shared" si="17"/>
        <v>0.20326918304266409</v>
      </c>
      <c r="J97" s="6">
        <f t="shared" si="18"/>
        <v>0.20881327662413476</v>
      </c>
      <c r="K97" s="6">
        <f t="shared" si="19"/>
        <v>0.18209008115099756</v>
      </c>
      <c r="M97" s="1" t="str">
        <f t="shared" si="16"/>
        <v>负债合计(万元)</v>
      </c>
      <c r="N97" s="6">
        <f t="shared" si="22"/>
        <v>0.19815148909764635</v>
      </c>
      <c r="O97" s="6">
        <f t="shared" si="20"/>
        <v>0.15142898221959511</v>
      </c>
      <c r="P97" s="6">
        <f t="shared" si="21"/>
        <v>0.21821967927759611</v>
      </c>
      <c r="Q97" s="11"/>
    </row>
    <row r="98" spans="1:17" ht="20.25" customHeight="1" x14ac:dyDescent="0.3">
      <c r="A98" s="15" t="s">
        <v>107</v>
      </c>
      <c r="B98" s="1" t="s">
        <v>441</v>
      </c>
      <c r="C98" s="1">
        <v>86879</v>
      </c>
      <c r="D98" s="1">
        <v>85121</v>
      </c>
      <c r="E98" s="1">
        <v>85837</v>
      </c>
      <c r="F98" s="23">
        <v>42678</v>
      </c>
      <c r="H98" s="1" t="str">
        <f t="shared" si="15"/>
        <v>实收资本(或股本)(万元)</v>
      </c>
      <c r="I98" s="6">
        <f t="shared" si="17"/>
        <v>0.24501669562078379</v>
      </c>
      <c r="J98" s="6">
        <f t="shared" si="18"/>
        <v>0.28394962888833292</v>
      </c>
      <c r="K98" s="6">
        <f t="shared" si="19"/>
        <v>0.30418157978666854</v>
      </c>
      <c r="M98" s="1" t="str">
        <f t="shared" si="16"/>
        <v>实收资本(或股本)(万元)</v>
      </c>
      <c r="N98" s="6">
        <f t="shared" si="22"/>
        <v>0.26737047300339811</v>
      </c>
      <c r="O98" s="6">
        <f t="shared" si="20"/>
        <v>2.0652952855347184E-2</v>
      </c>
      <c r="P98" s="6">
        <f t="shared" si="21"/>
        <v>-8.3413912415392089E-3</v>
      </c>
      <c r="Q98" s="11"/>
    </row>
    <row r="99" spans="1:17" ht="20.25" customHeight="1" x14ac:dyDescent="0.3">
      <c r="A99" s="15" t="s">
        <v>108</v>
      </c>
      <c r="B99" s="1" t="s">
        <v>442</v>
      </c>
      <c r="C99" s="1">
        <v>14885</v>
      </c>
      <c r="D99" s="1">
        <v>7946</v>
      </c>
      <c r="E99" s="1">
        <v>10046</v>
      </c>
      <c r="F99" s="23">
        <v>51322</v>
      </c>
      <c r="H99" s="1" t="str">
        <f t="shared" ref="H99:H111" si="23">B99</f>
        <v>资本公积(万元)</v>
      </c>
      <c r="I99" s="6">
        <f t="shared" si="17"/>
        <v>4.1978769487624933E-2</v>
      </c>
      <c r="J99" s="6">
        <f t="shared" si="18"/>
        <v>2.6506546576599115E-2</v>
      </c>
      <c r="K99" s="6">
        <f t="shared" si="19"/>
        <v>3.5600127573620612E-2</v>
      </c>
      <c r="M99" s="1" t="str">
        <f t="shared" ref="M99:M111" si="24">B99</f>
        <v>资本公积(万元)</v>
      </c>
      <c r="N99" s="6">
        <f t="shared" si="22"/>
        <v>-0.3380653905747838</v>
      </c>
      <c r="O99" s="6">
        <f t="shared" si="20"/>
        <v>0.87326956959476476</v>
      </c>
      <c r="P99" s="6">
        <f t="shared" si="21"/>
        <v>-0.20903842325303601</v>
      </c>
      <c r="Q99" s="11"/>
    </row>
    <row r="100" spans="1:17" ht="20.25" customHeight="1" x14ac:dyDescent="0.3">
      <c r="A100" s="15" t="s">
        <v>109</v>
      </c>
      <c r="B100" s="1" t="s">
        <v>443</v>
      </c>
      <c r="C100" s="1">
        <v>18770</v>
      </c>
      <c r="D100" s="1">
        <v>12648</v>
      </c>
      <c r="E100" s="1">
        <v>5864</v>
      </c>
      <c r="F100" s="23">
        <v>0</v>
      </c>
      <c r="H100" s="1" t="str">
        <f t="shared" si="23"/>
        <v>减:库存股(万元)</v>
      </c>
      <c r="I100" s="6">
        <f t="shared" ref="I100:I111" si="25">C100/C$111</f>
        <v>5.2935270626988246E-2</v>
      </c>
      <c r="J100" s="6">
        <f t="shared" ref="J100:J111" si="26">D100/D$111</f>
        <v>4.21916437327996E-2</v>
      </c>
      <c r="K100" s="6">
        <f t="shared" ref="K100:K111" si="27">E100/E$111</f>
        <v>2.0780325312732557E-2</v>
      </c>
      <c r="M100" s="1" t="str">
        <f t="shared" si="24"/>
        <v>减:库存股(万元)</v>
      </c>
      <c r="N100" s="6">
        <f t="shared" si="22"/>
        <v>0</v>
      </c>
      <c r="O100" s="6">
        <f t="shared" ref="O100:O111" si="28">IFERROR((C100/D100)-1,0)</f>
        <v>0.4840290955091715</v>
      </c>
      <c r="P100" s="6">
        <f t="shared" ref="P100:P111" si="29">IFERROR((D100/E100)-1,0)</f>
        <v>1.1568894952251023</v>
      </c>
      <c r="Q100" s="11"/>
    </row>
    <row r="101" spans="1:17" ht="20.25" customHeight="1" x14ac:dyDescent="0.3">
      <c r="A101" s="15" t="s">
        <v>110</v>
      </c>
      <c r="B101" s="1" t="s">
        <v>444</v>
      </c>
      <c r="C101" s="1">
        <v>0</v>
      </c>
      <c r="D101" s="1">
        <v>0</v>
      </c>
      <c r="E101" s="1">
        <v>0</v>
      </c>
      <c r="F101" s="23">
        <v>0</v>
      </c>
      <c r="H101" s="1" t="str">
        <f t="shared" si="23"/>
        <v>专项储备(万元)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M101" s="1" t="str">
        <f t="shared" si="24"/>
        <v>专项储备(万元)</v>
      </c>
      <c r="N101" s="6">
        <f t="shared" si="22"/>
        <v>0</v>
      </c>
      <c r="O101" s="6">
        <f t="shared" si="28"/>
        <v>0</v>
      </c>
      <c r="P101" s="6">
        <f t="shared" si="29"/>
        <v>0</v>
      </c>
      <c r="Q101" s="11"/>
    </row>
    <row r="102" spans="1:17" ht="20.25" customHeight="1" x14ac:dyDescent="0.3">
      <c r="A102" s="15" t="s">
        <v>111</v>
      </c>
      <c r="B102" s="1" t="s">
        <v>445</v>
      </c>
      <c r="C102" s="1">
        <v>2786</v>
      </c>
      <c r="D102" s="1">
        <v>0</v>
      </c>
      <c r="E102" s="1">
        <v>11102</v>
      </c>
      <c r="F102" s="23">
        <v>9037</v>
      </c>
      <c r="H102" s="1" t="str">
        <f t="shared" si="23"/>
        <v>盈余公积(万元)</v>
      </c>
      <c r="I102" s="6">
        <f t="shared" si="25"/>
        <v>7.8570945107506261E-3</v>
      </c>
      <c r="J102" s="6">
        <f t="shared" si="26"/>
        <v>0</v>
      </c>
      <c r="K102" s="6">
        <f t="shared" si="27"/>
        <v>3.9342287111520609E-2</v>
      </c>
      <c r="M102" s="1" t="str">
        <f t="shared" si="24"/>
        <v>盈余公积(万元)</v>
      </c>
      <c r="N102" s="6">
        <f t="shared" si="22"/>
        <v>-0.32445812238914695</v>
      </c>
      <c r="O102" s="6">
        <f t="shared" si="28"/>
        <v>0</v>
      </c>
      <c r="P102" s="6">
        <f t="shared" si="29"/>
        <v>-1</v>
      </c>
      <c r="Q102" s="11"/>
    </row>
    <row r="103" spans="1:17" ht="20.25" customHeight="1" x14ac:dyDescent="0.3">
      <c r="A103" s="15" t="s">
        <v>112</v>
      </c>
      <c r="B103" s="1" t="s">
        <v>446</v>
      </c>
      <c r="C103" s="1">
        <v>0</v>
      </c>
      <c r="D103" s="1">
        <v>0</v>
      </c>
      <c r="E103" s="1">
        <v>0</v>
      </c>
      <c r="F103" s="23">
        <v>0</v>
      </c>
      <c r="H103" s="1" t="str">
        <f t="shared" si="23"/>
        <v>一般风险准备(万元)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M103" s="1" t="str">
        <f t="shared" si="24"/>
        <v>一般风险准备(万元)</v>
      </c>
      <c r="N103" s="6">
        <f t="shared" si="22"/>
        <v>0</v>
      </c>
      <c r="O103" s="6">
        <f t="shared" si="28"/>
        <v>0</v>
      </c>
      <c r="P103" s="6">
        <f t="shared" si="29"/>
        <v>0</v>
      </c>
      <c r="Q103" s="11"/>
    </row>
    <row r="104" spans="1:17" ht="20.25" customHeight="1" x14ac:dyDescent="0.3">
      <c r="A104" s="15" t="s">
        <v>113</v>
      </c>
      <c r="B104" s="1" t="s">
        <v>447</v>
      </c>
      <c r="C104" s="1">
        <v>0</v>
      </c>
      <c r="D104" s="1">
        <v>0</v>
      </c>
      <c r="E104" s="1">
        <v>0</v>
      </c>
      <c r="F104" s="23">
        <v>0</v>
      </c>
      <c r="H104" s="1" t="str">
        <f t="shared" si="23"/>
        <v>未确定的投资损失(万元)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M104" s="1" t="str">
        <f t="shared" si="24"/>
        <v>未确定的投资损失(万元)</v>
      </c>
      <c r="N104" s="6">
        <f t="shared" si="22"/>
        <v>0</v>
      </c>
      <c r="O104" s="6">
        <f t="shared" si="28"/>
        <v>0</v>
      </c>
      <c r="P104" s="6">
        <f t="shared" si="29"/>
        <v>0</v>
      </c>
      <c r="Q104" s="11"/>
    </row>
    <row r="105" spans="1:17" ht="20.25" customHeight="1" x14ac:dyDescent="0.3">
      <c r="A105" s="15" t="s">
        <v>114</v>
      </c>
      <c r="B105" s="1" t="s">
        <v>448</v>
      </c>
      <c r="C105" s="1">
        <v>196729</v>
      </c>
      <c r="D105" s="1">
        <v>156759</v>
      </c>
      <c r="E105" s="1">
        <v>129684</v>
      </c>
      <c r="F105" s="23">
        <v>95852</v>
      </c>
      <c r="H105" s="1" t="str">
        <f t="shared" si="23"/>
        <v>未分配利润(万元)</v>
      </c>
      <c r="I105" s="6">
        <f t="shared" si="25"/>
        <v>0.55481634817137826</v>
      </c>
      <c r="J105" s="6">
        <f t="shared" si="26"/>
        <v>0.52292219164373277</v>
      </c>
      <c r="K105" s="6">
        <f t="shared" si="27"/>
        <v>0.45956270597824161</v>
      </c>
      <c r="M105" s="1" t="str">
        <f t="shared" si="24"/>
        <v>未分配利润(万元)</v>
      </c>
      <c r="N105" s="6">
        <f t="shared" si="22"/>
        <v>0.27083471098512479</v>
      </c>
      <c r="O105" s="6">
        <f t="shared" si="28"/>
        <v>0.25497738566844652</v>
      </c>
      <c r="P105" s="6">
        <f t="shared" si="29"/>
        <v>0.20877671879337467</v>
      </c>
      <c r="Q105" s="11"/>
    </row>
    <row r="106" spans="1:17" ht="20.25" customHeight="1" x14ac:dyDescent="0.3">
      <c r="A106" s="15" t="s">
        <v>115</v>
      </c>
      <c r="B106" s="1" t="s">
        <v>449</v>
      </c>
      <c r="C106" s="1">
        <v>0</v>
      </c>
      <c r="D106" s="1">
        <v>0</v>
      </c>
      <c r="E106" s="1">
        <v>0</v>
      </c>
      <c r="F106" s="23">
        <v>0</v>
      </c>
      <c r="H106" s="1" t="str">
        <f t="shared" si="23"/>
        <v>拟分配现金股利(万元)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M106" s="1" t="str">
        <f t="shared" si="24"/>
        <v>拟分配现金股利(万元)</v>
      </c>
      <c r="N106" s="6">
        <f t="shared" si="22"/>
        <v>0</v>
      </c>
      <c r="O106" s="6">
        <f t="shared" si="28"/>
        <v>0</v>
      </c>
      <c r="P106" s="6">
        <f t="shared" si="29"/>
        <v>0</v>
      </c>
      <c r="Q106" s="11"/>
    </row>
    <row r="107" spans="1:17" ht="20.25" customHeight="1" x14ac:dyDescent="0.3">
      <c r="A107" s="15" t="s">
        <v>116</v>
      </c>
      <c r="B107" s="1" t="s">
        <v>450</v>
      </c>
      <c r="C107" s="1">
        <v>0</v>
      </c>
      <c r="D107" s="1">
        <v>0</v>
      </c>
      <c r="E107" s="1">
        <v>0</v>
      </c>
      <c r="F107" s="23">
        <v>0</v>
      </c>
      <c r="H107" s="1" t="str">
        <f t="shared" si="23"/>
        <v>外币报表折算差额(万元)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M107" s="1" t="str">
        <f t="shared" si="24"/>
        <v>外币报表折算差额(万元)</v>
      </c>
      <c r="N107" s="6">
        <f t="shared" si="22"/>
        <v>0</v>
      </c>
      <c r="O107" s="6">
        <f t="shared" si="28"/>
        <v>0</v>
      </c>
      <c r="P107" s="6">
        <f t="shared" si="29"/>
        <v>0</v>
      </c>
      <c r="Q107" s="11"/>
    </row>
    <row r="108" spans="1:17" ht="20.25" customHeight="1" x14ac:dyDescent="0.3">
      <c r="A108" s="15" t="s">
        <v>117</v>
      </c>
      <c r="B108" s="1" t="s">
        <v>451</v>
      </c>
      <c r="C108" s="1">
        <v>282509</v>
      </c>
      <c r="D108" s="1">
        <v>237179</v>
      </c>
      <c r="E108" s="1">
        <v>230806</v>
      </c>
      <c r="F108" s="23">
        <v>198889</v>
      </c>
      <c r="H108" s="1" t="str">
        <f t="shared" si="23"/>
        <v>归属于母公司股东权益合计(万元)</v>
      </c>
      <c r="I108" s="6">
        <f t="shared" si="25"/>
        <v>0.79673363716354939</v>
      </c>
      <c r="J108" s="6">
        <f t="shared" si="26"/>
        <v>0.79119005921107499</v>
      </c>
      <c r="K108" s="6">
        <f t="shared" si="27"/>
        <v>0.81790991884900244</v>
      </c>
      <c r="M108" s="1" t="str">
        <f t="shared" si="24"/>
        <v>归属于母公司股东权益合计(万元)</v>
      </c>
      <c r="N108" s="6">
        <f t="shared" si="22"/>
        <v>0.12410576360207215</v>
      </c>
      <c r="O108" s="6">
        <f t="shared" si="28"/>
        <v>0.19112147365491894</v>
      </c>
      <c r="P108" s="6">
        <f t="shared" si="29"/>
        <v>2.7611933831876101E-2</v>
      </c>
      <c r="Q108" s="11"/>
    </row>
    <row r="109" spans="1:17" ht="20.25" customHeight="1" x14ac:dyDescent="0.3">
      <c r="A109" s="15" t="s">
        <v>118</v>
      </c>
      <c r="B109" s="1" t="s">
        <v>452</v>
      </c>
      <c r="C109" s="1">
        <v>0</v>
      </c>
      <c r="D109" s="1">
        <v>0</v>
      </c>
      <c r="E109" s="1">
        <v>0</v>
      </c>
      <c r="F109" s="23">
        <v>0</v>
      </c>
      <c r="H109" s="1" t="str">
        <f t="shared" si="23"/>
        <v>少数股东权益(万元)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M109" s="1" t="str">
        <f t="shared" si="24"/>
        <v>少数股东权益(万元)</v>
      </c>
      <c r="N109" s="6">
        <f t="shared" si="22"/>
        <v>0</v>
      </c>
      <c r="O109" s="6">
        <f t="shared" si="28"/>
        <v>0</v>
      </c>
      <c r="P109" s="6">
        <f t="shared" si="29"/>
        <v>0</v>
      </c>
      <c r="Q109" s="11"/>
    </row>
    <row r="110" spans="1:17" ht="20.25" customHeight="1" x14ac:dyDescent="0.3">
      <c r="A110" s="15" t="s">
        <v>119</v>
      </c>
      <c r="B110" s="1" t="s">
        <v>453</v>
      </c>
      <c r="C110" s="1">
        <v>282509</v>
      </c>
      <c r="D110" s="1">
        <v>237179</v>
      </c>
      <c r="E110" s="1">
        <v>230806</v>
      </c>
      <c r="F110" s="23">
        <v>198889</v>
      </c>
      <c r="H110" s="1" t="str">
        <f t="shared" si="23"/>
        <v>所有者权益(或股东权益)合计(万元)</v>
      </c>
      <c r="I110" s="6">
        <f t="shared" si="25"/>
        <v>0.79673363716354939</v>
      </c>
      <c r="J110" s="6">
        <f t="shared" si="26"/>
        <v>0.79119005921107499</v>
      </c>
      <c r="K110" s="6">
        <f t="shared" si="27"/>
        <v>0.81790991884900244</v>
      </c>
      <c r="M110" s="1" t="str">
        <f t="shared" si="24"/>
        <v>所有者权益(或股东权益)合计(万元)</v>
      </c>
      <c r="N110" s="6">
        <f t="shared" si="22"/>
        <v>0.12410576360207215</v>
      </c>
      <c r="O110" s="6">
        <f t="shared" si="28"/>
        <v>0.19112147365491894</v>
      </c>
      <c r="P110" s="6">
        <f t="shared" si="29"/>
        <v>2.7611933831876101E-2</v>
      </c>
      <c r="Q110" s="11"/>
    </row>
    <row r="111" spans="1:17" ht="20.25" customHeight="1" x14ac:dyDescent="0.3">
      <c r="A111" s="15" t="s">
        <v>120</v>
      </c>
      <c r="B111" s="1" t="s">
        <v>454</v>
      </c>
      <c r="C111" s="1">
        <v>354584</v>
      </c>
      <c r="D111" s="1">
        <v>299775</v>
      </c>
      <c r="E111" s="1">
        <v>282190</v>
      </c>
      <c r="F111" s="23">
        <v>240794</v>
      </c>
      <c r="H111" s="1" t="str">
        <f t="shared" si="23"/>
        <v>负债和所有者权益(或股东权益)总计(万元)</v>
      </c>
      <c r="I111" s="6">
        <f t="shared" si="25"/>
        <v>1</v>
      </c>
      <c r="J111" s="6">
        <f t="shared" si="26"/>
        <v>1</v>
      </c>
      <c r="K111" s="6">
        <f t="shared" si="27"/>
        <v>1</v>
      </c>
      <c r="M111" s="1" t="str">
        <f t="shared" si="24"/>
        <v>负债和所有者权益(或股东权益)总计(万元)</v>
      </c>
      <c r="N111" s="6">
        <f t="shared" si="22"/>
        <v>0.13769144205839368</v>
      </c>
      <c r="O111" s="6">
        <f t="shared" si="28"/>
        <v>0.18283379201067462</v>
      </c>
      <c r="P111" s="6">
        <f t="shared" si="29"/>
        <v>6.2316169956412315E-2</v>
      </c>
      <c r="Q111" s="11"/>
    </row>
    <row r="112" spans="1:17" ht="20.25" customHeight="1" x14ac:dyDescent="0.3"/>
    <row r="113" spans="1:17" ht="36" customHeight="1" x14ac:dyDescent="0.3">
      <c r="B113" s="147" t="s">
        <v>10</v>
      </c>
      <c r="C113" s="147"/>
      <c r="D113" s="147"/>
      <c r="E113" s="147"/>
      <c r="H113" s="145" t="s">
        <v>2</v>
      </c>
      <c r="I113" s="145"/>
      <c r="J113" s="145"/>
      <c r="K113" s="145"/>
      <c r="M113" s="145" t="s">
        <v>6</v>
      </c>
      <c r="N113" s="145"/>
      <c r="O113" s="145"/>
      <c r="P113" s="145"/>
    </row>
    <row r="114" spans="1:17" ht="20.25" customHeight="1" x14ac:dyDescent="0.3">
      <c r="A114" s="12"/>
      <c r="B114" s="1" t="s">
        <v>346</v>
      </c>
      <c r="C114" s="2">
        <v>42916</v>
      </c>
      <c r="D114" s="2">
        <v>42551</v>
      </c>
      <c r="E114" s="2">
        <v>42185</v>
      </c>
      <c r="F114" s="2">
        <v>41820</v>
      </c>
      <c r="H114" s="1" t="str">
        <f>B114</f>
        <v>报告日期</v>
      </c>
      <c r="I114" s="2">
        <f>C114</f>
        <v>42916</v>
      </c>
      <c r="J114" s="2">
        <f>D114</f>
        <v>42551</v>
      </c>
      <c r="K114" s="2">
        <f>E114</f>
        <v>42185</v>
      </c>
      <c r="M114" s="1" t="str">
        <f>B114</f>
        <v>报告日期</v>
      </c>
      <c r="N114" s="8" t="s">
        <v>5</v>
      </c>
      <c r="O114" s="2">
        <f>C114</f>
        <v>42916</v>
      </c>
      <c r="P114" s="2">
        <f>D114</f>
        <v>42551</v>
      </c>
      <c r="Q114" s="10"/>
    </row>
    <row r="115" spans="1:17" ht="20.25" customHeight="1" x14ac:dyDescent="0.3">
      <c r="A115" s="12" t="s">
        <v>121</v>
      </c>
      <c r="B115" s="1" t="s">
        <v>455</v>
      </c>
      <c r="C115" s="1">
        <v>96129</v>
      </c>
      <c r="D115" s="1">
        <v>88115</v>
      </c>
      <c r="E115" s="1">
        <v>86262</v>
      </c>
      <c r="F115" s="23">
        <v>85399</v>
      </c>
      <c r="H115" s="1" t="str">
        <f t="shared" ref="H115:H158" si="30">B115</f>
        <v>营业总收入(万元)</v>
      </c>
      <c r="I115" s="6">
        <f t="shared" ref="I115:I158" si="31">C115/C$115</f>
        <v>1</v>
      </c>
      <c r="J115" s="6">
        <f t="shared" ref="J115:J158" si="32">D115/D$115</f>
        <v>1</v>
      </c>
      <c r="K115" s="6">
        <f t="shared" ref="K115:K158" si="33">E115/E$115</f>
        <v>1</v>
      </c>
      <c r="M115" s="1" t="str">
        <f t="shared" ref="M115:M158" si="34">B115</f>
        <v>营业总收入(万元)</v>
      </c>
      <c r="N115" s="6">
        <f>IFERROR(POWER(C115/F115,1/3)-1,0)</f>
        <v>4.024079094224331E-2</v>
      </c>
      <c r="O115" s="6">
        <f>IFERROR(C115/D115-1,0)</f>
        <v>9.0949327583271788E-2</v>
      </c>
      <c r="P115" s="6">
        <f t="shared" ref="P115:P158" si="35">IFERROR(D115/E115-1,0)</f>
        <v>2.1481069300503197E-2</v>
      </c>
      <c r="Q115" s="11"/>
    </row>
    <row r="116" spans="1:17" ht="20.25" customHeight="1" x14ac:dyDescent="0.3">
      <c r="A116" s="12" t="s">
        <v>122</v>
      </c>
      <c r="B116" s="1" t="s">
        <v>456</v>
      </c>
      <c r="C116" s="1">
        <v>96129</v>
      </c>
      <c r="D116" s="1">
        <v>88115</v>
      </c>
      <c r="E116" s="1">
        <v>86262</v>
      </c>
      <c r="F116" s="23">
        <v>85399</v>
      </c>
      <c r="H116" s="1" t="str">
        <f t="shared" si="30"/>
        <v>营业收入(万元)</v>
      </c>
      <c r="I116" s="6">
        <f t="shared" si="31"/>
        <v>1</v>
      </c>
      <c r="J116" s="6">
        <f t="shared" si="32"/>
        <v>1</v>
      </c>
      <c r="K116" s="6">
        <f t="shared" si="33"/>
        <v>1</v>
      </c>
      <c r="M116" s="1" t="str">
        <f t="shared" si="34"/>
        <v>营业收入(万元)</v>
      </c>
      <c r="N116" s="6">
        <f t="shared" ref="N116:N158" si="36">IFERROR(POWER(C116/F116,1/3)-1,0)</f>
        <v>4.024079094224331E-2</v>
      </c>
      <c r="O116" s="6">
        <f t="shared" ref="O116:O158" si="37">IFERROR(C116/D116-1,0)</f>
        <v>9.0949327583271788E-2</v>
      </c>
      <c r="P116" s="6">
        <f t="shared" si="35"/>
        <v>2.1481069300503197E-2</v>
      </c>
      <c r="Q116" s="11"/>
    </row>
    <row r="117" spans="1:17" ht="20.25" customHeight="1" x14ac:dyDescent="0.3">
      <c r="A117" s="12" t="s">
        <v>123</v>
      </c>
      <c r="B117" s="1" t="s">
        <v>457</v>
      </c>
      <c r="C117" s="1">
        <v>0</v>
      </c>
      <c r="D117" s="1">
        <v>0</v>
      </c>
      <c r="E117" s="1">
        <v>0</v>
      </c>
      <c r="F117" s="23">
        <v>0</v>
      </c>
      <c r="H117" s="1" t="str">
        <f t="shared" si="30"/>
        <v>利息收入(万元)</v>
      </c>
      <c r="I117" s="6">
        <f t="shared" si="31"/>
        <v>0</v>
      </c>
      <c r="J117" s="6">
        <f t="shared" si="32"/>
        <v>0</v>
      </c>
      <c r="K117" s="6">
        <f t="shared" si="33"/>
        <v>0</v>
      </c>
      <c r="M117" s="1" t="str">
        <f t="shared" si="34"/>
        <v>利息收入(万元)</v>
      </c>
      <c r="N117" s="6">
        <f t="shared" si="36"/>
        <v>0</v>
      </c>
      <c r="O117" s="6">
        <f t="shared" si="37"/>
        <v>0</v>
      </c>
      <c r="P117" s="6">
        <f t="shared" si="35"/>
        <v>0</v>
      </c>
      <c r="Q117" s="11"/>
    </row>
    <row r="118" spans="1:17" ht="20.25" customHeight="1" x14ac:dyDescent="0.3">
      <c r="A118" s="15" t="s">
        <v>124</v>
      </c>
      <c r="B118" s="1" t="s">
        <v>458</v>
      </c>
      <c r="C118" s="1">
        <v>0</v>
      </c>
      <c r="D118" s="1">
        <v>0</v>
      </c>
      <c r="E118" s="1">
        <v>0</v>
      </c>
      <c r="F118" s="23">
        <v>0</v>
      </c>
      <c r="H118" s="1" t="str">
        <f t="shared" si="30"/>
        <v>已赚保费(万元)</v>
      </c>
      <c r="I118" s="6">
        <f t="shared" si="31"/>
        <v>0</v>
      </c>
      <c r="J118" s="6">
        <f t="shared" si="32"/>
        <v>0</v>
      </c>
      <c r="K118" s="6">
        <f t="shared" si="33"/>
        <v>0</v>
      </c>
      <c r="M118" s="1" t="str">
        <f t="shared" si="34"/>
        <v>已赚保费(万元)</v>
      </c>
      <c r="N118" s="6">
        <f t="shared" si="36"/>
        <v>0</v>
      </c>
      <c r="O118" s="6">
        <f t="shared" si="37"/>
        <v>0</v>
      </c>
      <c r="P118" s="6">
        <f t="shared" si="35"/>
        <v>0</v>
      </c>
      <c r="Q118" s="11"/>
    </row>
    <row r="119" spans="1:17" ht="20.25" customHeight="1" x14ac:dyDescent="0.3">
      <c r="A119" s="15" t="s">
        <v>125</v>
      </c>
      <c r="B119" s="1" t="s">
        <v>459</v>
      </c>
      <c r="C119" s="1">
        <v>0</v>
      </c>
      <c r="D119" s="1">
        <v>0</v>
      </c>
      <c r="E119" s="1">
        <v>0</v>
      </c>
      <c r="F119" s="23">
        <v>0</v>
      </c>
      <c r="H119" s="1" t="str">
        <f t="shared" si="30"/>
        <v>手续费及佣金收入(万元)</v>
      </c>
      <c r="I119" s="6">
        <f t="shared" si="31"/>
        <v>0</v>
      </c>
      <c r="J119" s="6">
        <f t="shared" si="32"/>
        <v>0</v>
      </c>
      <c r="K119" s="6">
        <f t="shared" si="33"/>
        <v>0</v>
      </c>
      <c r="M119" s="1" t="str">
        <f t="shared" si="34"/>
        <v>手续费及佣金收入(万元)</v>
      </c>
      <c r="N119" s="6">
        <f t="shared" si="36"/>
        <v>0</v>
      </c>
      <c r="O119" s="6">
        <f t="shared" si="37"/>
        <v>0</v>
      </c>
      <c r="P119" s="6">
        <f t="shared" si="35"/>
        <v>0</v>
      </c>
      <c r="Q119" s="11"/>
    </row>
    <row r="120" spans="1:17" ht="20.25" customHeight="1" x14ac:dyDescent="0.3">
      <c r="A120" s="15" t="s">
        <v>126</v>
      </c>
      <c r="B120" s="1" t="s">
        <v>460</v>
      </c>
      <c r="C120" s="1">
        <v>0</v>
      </c>
      <c r="D120" s="1">
        <v>0</v>
      </c>
      <c r="E120" s="1">
        <v>0</v>
      </c>
      <c r="F120" s="23">
        <v>0</v>
      </c>
      <c r="H120" s="1" t="str">
        <f t="shared" si="30"/>
        <v>房地产销售收入(万元)</v>
      </c>
      <c r="I120" s="6">
        <f t="shared" si="31"/>
        <v>0</v>
      </c>
      <c r="J120" s="6">
        <f t="shared" si="32"/>
        <v>0</v>
      </c>
      <c r="K120" s="6">
        <f t="shared" si="33"/>
        <v>0</v>
      </c>
      <c r="M120" s="1" t="str">
        <f t="shared" si="34"/>
        <v>房地产销售收入(万元)</v>
      </c>
      <c r="N120" s="6">
        <f t="shared" si="36"/>
        <v>0</v>
      </c>
      <c r="O120" s="6">
        <f t="shared" si="37"/>
        <v>0</v>
      </c>
      <c r="P120" s="6">
        <f t="shared" si="35"/>
        <v>0</v>
      </c>
      <c r="Q120" s="11"/>
    </row>
    <row r="121" spans="1:17" ht="20.25" customHeight="1" x14ac:dyDescent="0.3">
      <c r="A121" s="15" t="s">
        <v>127</v>
      </c>
      <c r="B121" s="1" t="s">
        <v>461</v>
      </c>
      <c r="C121" s="1">
        <v>0</v>
      </c>
      <c r="D121" s="1">
        <v>0</v>
      </c>
      <c r="E121" s="1">
        <v>0</v>
      </c>
      <c r="F121" s="23">
        <v>0</v>
      </c>
      <c r="H121" s="1" t="str">
        <f t="shared" si="30"/>
        <v>其他业务收入(万元)</v>
      </c>
      <c r="I121" s="6">
        <f t="shared" si="31"/>
        <v>0</v>
      </c>
      <c r="J121" s="6">
        <f t="shared" si="32"/>
        <v>0</v>
      </c>
      <c r="K121" s="6">
        <f t="shared" si="33"/>
        <v>0</v>
      </c>
      <c r="M121" s="1" t="str">
        <f t="shared" si="34"/>
        <v>其他业务收入(万元)</v>
      </c>
      <c r="N121" s="6">
        <f t="shared" si="36"/>
        <v>0</v>
      </c>
      <c r="O121" s="6">
        <f t="shared" si="37"/>
        <v>0</v>
      </c>
      <c r="P121" s="6">
        <f t="shared" si="35"/>
        <v>0</v>
      </c>
      <c r="Q121" s="11"/>
    </row>
    <row r="122" spans="1:17" ht="20.25" customHeight="1" x14ac:dyDescent="0.3">
      <c r="A122" s="15" t="s">
        <v>128</v>
      </c>
      <c r="B122" s="1" t="s">
        <v>462</v>
      </c>
      <c r="C122" s="1">
        <v>78207</v>
      </c>
      <c r="D122" s="1">
        <v>68380</v>
      </c>
      <c r="E122" s="1">
        <v>64648</v>
      </c>
      <c r="F122" s="23">
        <v>65466</v>
      </c>
      <c r="H122" s="1" t="str">
        <f t="shared" si="30"/>
        <v>营业总成本(万元)</v>
      </c>
      <c r="I122" s="6">
        <f t="shared" si="31"/>
        <v>0.81356302468557873</v>
      </c>
      <c r="J122" s="6">
        <f t="shared" si="32"/>
        <v>0.77603132270328545</v>
      </c>
      <c r="K122" s="6">
        <f t="shared" si="33"/>
        <v>0.74943775938420165</v>
      </c>
      <c r="M122" s="1" t="str">
        <f t="shared" si="34"/>
        <v>营业总成本(万元)</v>
      </c>
      <c r="N122" s="6">
        <f t="shared" si="36"/>
        <v>6.1068137774081821E-2</v>
      </c>
      <c r="O122" s="6">
        <f t="shared" si="37"/>
        <v>0.14371161158233403</v>
      </c>
      <c r="P122" s="6">
        <f t="shared" si="35"/>
        <v>5.772800395990596E-2</v>
      </c>
      <c r="Q122" s="11"/>
    </row>
    <row r="123" spans="1:17" ht="20.25" customHeight="1" x14ac:dyDescent="0.3">
      <c r="A123" s="15" t="s">
        <v>129</v>
      </c>
      <c r="B123" s="1" t="s">
        <v>463</v>
      </c>
      <c r="C123" s="1">
        <v>47858</v>
      </c>
      <c r="D123" s="1">
        <v>42990</v>
      </c>
      <c r="E123" s="1">
        <v>41372</v>
      </c>
      <c r="F123" s="23">
        <v>40963</v>
      </c>
      <c r="H123" s="1" t="str">
        <f t="shared" si="30"/>
        <v>营业成本(万元)</v>
      </c>
      <c r="I123" s="6">
        <f t="shared" si="31"/>
        <v>0.49785184491672646</v>
      </c>
      <c r="J123" s="6">
        <f t="shared" si="32"/>
        <v>0.48788515008795325</v>
      </c>
      <c r="K123" s="6">
        <f t="shared" si="33"/>
        <v>0.47960863416104427</v>
      </c>
      <c r="M123" s="1" t="str">
        <f t="shared" si="34"/>
        <v>营业成本(万元)</v>
      </c>
      <c r="N123" s="6">
        <f t="shared" si="36"/>
        <v>5.3224443967491597E-2</v>
      </c>
      <c r="O123" s="6">
        <f t="shared" si="37"/>
        <v>0.11323563619446375</v>
      </c>
      <c r="P123" s="6">
        <f t="shared" si="35"/>
        <v>3.9108575848399774E-2</v>
      </c>
      <c r="Q123" s="11"/>
    </row>
    <row r="124" spans="1:17" ht="20.25" customHeight="1" x14ac:dyDescent="0.3">
      <c r="A124" s="15" t="s">
        <v>130</v>
      </c>
      <c r="B124" s="1" t="s">
        <v>464</v>
      </c>
      <c r="C124" s="1">
        <v>0</v>
      </c>
      <c r="D124" s="1">
        <v>0</v>
      </c>
      <c r="E124" s="1">
        <v>0</v>
      </c>
      <c r="F124" s="23">
        <v>0</v>
      </c>
      <c r="H124" s="1" t="str">
        <f t="shared" si="30"/>
        <v>利息支出(万元)</v>
      </c>
      <c r="I124" s="6">
        <f t="shared" si="31"/>
        <v>0</v>
      </c>
      <c r="J124" s="6">
        <f t="shared" si="32"/>
        <v>0</v>
      </c>
      <c r="K124" s="6">
        <f t="shared" si="33"/>
        <v>0</v>
      </c>
      <c r="M124" s="1" t="str">
        <f t="shared" si="34"/>
        <v>利息支出(万元)</v>
      </c>
      <c r="N124" s="6">
        <f t="shared" si="36"/>
        <v>0</v>
      </c>
      <c r="O124" s="6">
        <f t="shared" si="37"/>
        <v>0</v>
      </c>
      <c r="P124" s="6">
        <f t="shared" si="35"/>
        <v>0</v>
      </c>
      <c r="Q124" s="11"/>
    </row>
    <row r="125" spans="1:17" ht="20.25" customHeight="1" x14ac:dyDescent="0.3">
      <c r="A125" s="15" t="s">
        <v>131</v>
      </c>
      <c r="B125" s="1" t="s">
        <v>465</v>
      </c>
      <c r="C125" s="1">
        <v>0</v>
      </c>
      <c r="D125" s="1">
        <v>0</v>
      </c>
      <c r="E125" s="1">
        <v>0</v>
      </c>
      <c r="F125" s="23">
        <v>0</v>
      </c>
      <c r="H125" s="1" t="str">
        <f t="shared" si="30"/>
        <v>手续费及佣金支出(万元)</v>
      </c>
      <c r="I125" s="6">
        <f t="shared" si="31"/>
        <v>0</v>
      </c>
      <c r="J125" s="6">
        <f t="shared" si="32"/>
        <v>0</v>
      </c>
      <c r="K125" s="6">
        <f t="shared" si="33"/>
        <v>0</v>
      </c>
      <c r="M125" s="1" t="str">
        <f t="shared" si="34"/>
        <v>手续费及佣金支出(万元)</v>
      </c>
      <c r="N125" s="6">
        <f t="shared" si="36"/>
        <v>0</v>
      </c>
      <c r="O125" s="6">
        <f t="shared" si="37"/>
        <v>0</v>
      </c>
      <c r="P125" s="6">
        <f t="shared" si="35"/>
        <v>0</v>
      </c>
      <c r="Q125" s="11"/>
    </row>
    <row r="126" spans="1:17" ht="20.25" customHeight="1" x14ac:dyDescent="0.3">
      <c r="A126" s="15" t="s">
        <v>132</v>
      </c>
      <c r="B126" s="1" t="s">
        <v>466</v>
      </c>
      <c r="C126" s="1">
        <v>0</v>
      </c>
      <c r="D126" s="1">
        <v>0</v>
      </c>
      <c r="E126" s="1">
        <v>0</v>
      </c>
      <c r="F126" s="23">
        <v>0</v>
      </c>
      <c r="H126" s="1" t="str">
        <f t="shared" si="30"/>
        <v>房地产销售成本(万元)</v>
      </c>
      <c r="I126" s="6">
        <f t="shared" si="31"/>
        <v>0</v>
      </c>
      <c r="J126" s="6">
        <f t="shared" si="32"/>
        <v>0</v>
      </c>
      <c r="K126" s="6">
        <f t="shared" si="33"/>
        <v>0</v>
      </c>
      <c r="M126" s="1" t="str">
        <f t="shared" si="34"/>
        <v>房地产销售成本(万元)</v>
      </c>
      <c r="N126" s="6">
        <f t="shared" si="36"/>
        <v>0</v>
      </c>
      <c r="O126" s="6">
        <f t="shared" si="37"/>
        <v>0</v>
      </c>
      <c r="P126" s="6">
        <f t="shared" si="35"/>
        <v>0</v>
      </c>
      <c r="Q126" s="11"/>
    </row>
    <row r="127" spans="1:17" ht="20.25" customHeight="1" x14ac:dyDescent="0.3">
      <c r="A127" s="15" t="s">
        <v>133</v>
      </c>
      <c r="B127" s="1" t="s">
        <v>467</v>
      </c>
      <c r="C127" s="1">
        <v>0</v>
      </c>
      <c r="D127" s="1">
        <v>0</v>
      </c>
      <c r="E127" s="1">
        <v>0</v>
      </c>
      <c r="F127" s="23">
        <v>0</v>
      </c>
      <c r="H127" s="1" t="str">
        <f t="shared" si="30"/>
        <v>研发费用(万元)</v>
      </c>
      <c r="I127" s="6">
        <f t="shared" si="31"/>
        <v>0</v>
      </c>
      <c r="J127" s="6">
        <f t="shared" si="32"/>
        <v>0</v>
      </c>
      <c r="K127" s="6">
        <f t="shared" si="33"/>
        <v>0</v>
      </c>
      <c r="M127" s="1" t="str">
        <f t="shared" si="34"/>
        <v>研发费用(万元)</v>
      </c>
      <c r="N127" s="6">
        <f t="shared" si="36"/>
        <v>0</v>
      </c>
      <c r="O127" s="6">
        <f t="shared" si="37"/>
        <v>0</v>
      </c>
      <c r="P127" s="6">
        <f t="shared" si="35"/>
        <v>0</v>
      </c>
      <c r="Q127" s="11"/>
    </row>
    <row r="128" spans="1:17" ht="20.25" customHeight="1" x14ac:dyDescent="0.3">
      <c r="A128" s="15" t="s">
        <v>134</v>
      </c>
      <c r="B128" s="1" t="s">
        <v>468</v>
      </c>
      <c r="C128" s="1">
        <v>0</v>
      </c>
      <c r="D128" s="1">
        <v>0</v>
      </c>
      <c r="E128" s="1">
        <v>0</v>
      </c>
      <c r="F128" s="23">
        <v>0</v>
      </c>
      <c r="H128" s="1" t="str">
        <f t="shared" si="30"/>
        <v>退保金(万元)</v>
      </c>
      <c r="I128" s="6">
        <f t="shared" si="31"/>
        <v>0</v>
      </c>
      <c r="J128" s="6">
        <f t="shared" si="32"/>
        <v>0</v>
      </c>
      <c r="K128" s="6">
        <f t="shared" si="33"/>
        <v>0</v>
      </c>
      <c r="M128" s="1" t="str">
        <f t="shared" si="34"/>
        <v>退保金(万元)</v>
      </c>
      <c r="N128" s="6">
        <f t="shared" si="36"/>
        <v>0</v>
      </c>
      <c r="O128" s="6">
        <f t="shared" si="37"/>
        <v>0</v>
      </c>
      <c r="P128" s="6">
        <f t="shared" si="35"/>
        <v>0</v>
      </c>
      <c r="Q128" s="11"/>
    </row>
    <row r="129" spans="1:17" ht="20.25" customHeight="1" x14ac:dyDescent="0.3">
      <c r="A129" s="15" t="s">
        <v>135</v>
      </c>
      <c r="B129" s="1" t="s">
        <v>469</v>
      </c>
      <c r="C129" s="1">
        <v>0</v>
      </c>
      <c r="D129" s="1">
        <v>0</v>
      </c>
      <c r="E129" s="1">
        <v>0</v>
      </c>
      <c r="F129" s="23">
        <v>0</v>
      </c>
      <c r="H129" s="1" t="str">
        <f t="shared" si="30"/>
        <v>赔付支出净额(万元)</v>
      </c>
      <c r="I129" s="6">
        <f t="shared" si="31"/>
        <v>0</v>
      </c>
      <c r="J129" s="6">
        <f t="shared" si="32"/>
        <v>0</v>
      </c>
      <c r="K129" s="6">
        <f t="shared" si="33"/>
        <v>0</v>
      </c>
      <c r="M129" s="1" t="str">
        <f t="shared" si="34"/>
        <v>赔付支出净额(万元)</v>
      </c>
      <c r="N129" s="6">
        <f t="shared" si="36"/>
        <v>0</v>
      </c>
      <c r="O129" s="6">
        <f t="shared" si="37"/>
        <v>0</v>
      </c>
      <c r="P129" s="6">
        <f t="shared" si="35"/>
        <v>0</v>
      </c>
      <c r="Q129" s="11"/>
    </row>
    <row r="130" spans="1:17" ht="20.25" customHeight="1" x14ac:dyDescent="0.3">
      <c r="A130" s="15" t="s">
        <v>136</v>
      </c>
      <c r="B130" s="1" t="s">
        <v>470</v>
      </c>
      <c r="C130" s="1">
        <v>0</v>
      </c>
      <c r="D130" s="1">
        <v>0</v>
      </c>
      <c r="E130" s="1">
        <v>0</v>
      </c>
      <c r="F130" s="23">
        <v>0</v>
      </c>
      <c r="H130" s="1" t="str">
        <f t="shared" si="30"/>
        <v>提取保险合同准备金净额(万元)</v>
      </c>
      <c r="I130" s="6">
        <f t="shared" si="31"/>
        <v>0</v>
      </c>
      <c r="J130" s="6">
        <f t="shared" si="32"/>
        <v>0</v>
      </c>
      <c r="K130" s="6">
        <f t="shared" si="33"/>
        <v>0</v>
      </c>
      <c r="M130" s="1" t="str">
        <f t="shared" si="34"/>
        <v>提取保险合同准备金净额(万元)</v>
      </c>
      <c r="N130" s="6">
        <f t="shared" si="36"/>
        <v>0</v>
      </c>
      <c r="O130" s="6">
        <f t="shared" si="37"/>
        <v>0</v>
      </c>
      <c r="P130" s="6">
        <f t="shared" si="35"/>
        <v>0</v>
      </c>
      <c r="Q130" s="11"/>
    </row>
    <row r="131" spans="1:17" ht="20.25" customHeight="1" x14ac:dyDescent="0.3">
      <c r="A131" s="15" t="s">
        <v>137</v>
      </c>
      <c r="B131" s="1" t="s">
        <v>471</v>
      </c>
      <c r="C131" s="1">
        <v>0</v>
      </c>
      <c r="D131" s="1">
        <v>0</v>
      </c>
      <c r="E131" s="1">
        <v>0</v>
      </c>
      <c r="F131" s="23">
        <v>0</v>
      </c>
      <c r="H131" s="1" t="str">
        <f t="shared" si="30"/>
        <v>保单红利支出(万元)</v>
      </c>
      <c r="I131" s="6">
        <f t="shared" si="31"/>
        <v>0</v>
      </c>
      <c r="J131" s="6">
        <f t="shared" si="32"/>
        <v>0</v>
      </c>
      <c r="K131" s="6">
        <f t="shared" si="33"/>
        <v>0</v>
      </c>
      <c r="M131" s="1" t="str">
        <f t="shared" si="34"/>
        <v>保单红利支出(万元)</v>
      </c>
      <c r="N131" s="6">
        <f t="shared" si="36"/>
        <v>0</v>
      </c>
      <c r="O131" s="6">
        <f t="shared" si="37"/>
        <v>0</v>
      </c>
      <c r="P131" s="6">
        <f t="shared" si="35"/>
        <v>0</v>
      </c>
      <c r="Q131" s="11"/>
    </row>
    <row r="132" spans="1:17" ht="20.25" customHeight="1" x14ac:dyDescent="0.3">
      <c r="A132" s="15" t="s">
        <v>138</v>
      </c>
      <c r="B132" s="1" t="s">
        <v>472</v>
      </c>
      <c r="C132" s="1">
        <v>0</v>
      </c>
      <c r="D132" s="1">
        <v>0</v>
      </c>
      <c r="E132" s="1">
        <v>0</v>
      </c>
      <c r="F132" s="23">
        <v>0</v>
      </c>
      <c r="H132" s="1" t="str">
        <f t="shared" si="30"/>
        <v>分保费用(万元)</v>
      </c>
      <c r="I132" s="6">
        <f t="shared" si="31"/>
        <v>0</v>
      </c>
      <c r="J132" s="6">
        <f t="shared" si="32"/>
        <v>0</v>
      </c>
      <c r="K132" s="6">
        <f t="shared" si="33"/>
        <v>0</v>
      </c>
      <c r="M132" s="1" t="str">
        <f t="shared" si="34"/>
        <v>分保费用(万元)</v>
      </c>
      <c r="N132" s="6">
        <f t="shared" si="36"/>
        <v>0</v>
      </c>
      <c r="O132" s="6">
        <f t="shared" si="37"/>
        <v>0</v>
      </c>
      <c r="P132" s="6">
        <f t="shared" si="35"/>
        <v>0</v>
      </c>
      <c r="Q132" s="11"/>
    </row>
    <row r="133" spans="1:17" ht="20.25" customHeight="1" x14ac:dyDescent="0.3">
      <c r="A133" s="15" t="s">
        <v>139</v>
      </c>
      <c r="B133" s="1" t="s">
        <v>473</v>
      </c>
      <c r="C133" s="1">
        <v>0</v>
      </c>
      <c r="D133" s="1">
        <v>0</v>
      </c>
      <c r="E133" s="1">
        <v>0</v>
      </c>
      <c r="F133" s="23">
        <v>0</v>
      </c>
      <c r="H133" s="1" t="str">
        <f t="shared" si="30"/>
        <v>其他业务成本(万元)</v>
      </c>
      <c r="I133" s="6">
        <f t="shared" si="31"/>
        <v>0</v>
      </c>
      <c r="J133" s="6">
        <f t="shared" si="32"/>
        <v>0</v>
      </c>
      <c r="K133" s="6">
        <f t="shared" si="33"/>
        <v>0</v>
      </c>
      <c r="M133" s="1" t="str">
        <f t="shared" si="34"/>
        <v>其他业务成本(万元)</v>
      </c>
      <c r="N133" s="6">
        <f t="shared" si="36"/>
        <v>0</v>
      </c>
      <c r="O133" s="6">
        <f t="shared" si="37"/>
        <v>0</v>
      </c>
      <c r="P133" s="6">
        <f t="shared" si="35"/>
        <v>0</v>
      </c>
      <c r="Q133" s="11"/>
    </row>
    <row r="134" spans="1:17" ht="20.25" customHeight="1" x14ac:dyDescent="0.3">
      <c r="A134" s="15" t="s">
        <v>140</v>
      </c>
      <c r="B134" s="1" t="s">
        <v>474</v>
      </c>
      <c r="C134" s="1">
        <v>1135</v>
      </c>
      <c r="D134" s="1">
        <v>902</v>
      </c>
      <c r="E134" s="1">
        <v>722</v>
      </c>
      <c r="F134" s="23">
        <v>994</v>
      </c>
      <c r="H134" s="1" t="str">
        <f t="shared" si="30"/>
        <v>营业税金及附加(万元)</v>
      </c>
      <c r="I134" s="6">
        <f t="shared" si="31"/>
        <v>1.1807050941963403E-2</v>
      </c>
      <c r="J134" s="6">
        <f t="shared" si="32"/>
        <v>1.0236622595471827E-2</v>
      </c>
      <c r="K134" s="6">
        <f t="shared" si="33"/>
        <v>8.3698499918851872E-3</v>
      </c>
      <c r="M134" s="1" t="str">
        <f t="shared" si="34"/>
        <v>营业税金及附加(万元)</v>
      </c>
      <c r="N134" s="6">
        <f t="shared" si="36"/>
        <v>4.5209044247393582E-2</v>
      </c>
      <c r="O134" s="6">
        <f t="shared" si="37"/>
        <v>0.25831485587583147</v>
      </c>
      <c r="P134" s="6">
        <f t="shared" si="35"/>
        <v>0.24930747922437679</v>
      </c>
      <c r="Q134" s="11"/>
    </row>
    <row r="135" spans="1:17" ht="20.25" customHeight="1" x14ac:dyDescent="0.3">
      <c r="A135" s="15" t="s">
        <v>141</v>
      </c>
      <c r="B135" s="1" t="s">
        <v>475</v>
      </c>
      <c r="C135" s="1">
        <v>25512</v>
      </c>
      <c r="D135" s="1">
        <v>21371</v>
      </c>
      <c r="E135" s="1">
        <v>19476</v>
      </c>
      <c r="F135" s="23">
        <v>19583</v>
      </c>
      <c r="H135" s="1" t="str">
        <f t="shared" si="30"/>
        <v>销售费用(万元)</v>
      </c>
      <c r="I135" s="6">
        <f t="shared" si="31"/>
        <v>0.26539337764878446</v>
      </c>
      <c r="J135" s="6">
        <f t="shared" si="32"/>
        <v>0.24253532315723769</v>
      </c>
      <c r="K135" s="6">
        <f t="shared" si="33"/>
        <v>0.22577728316060375</v>
      </c>
      <c r="M135" s="1" t="str">
        <f t="shared" si="34"/>
        <v>销售费用(万元)</v>
      </c>
      <c r="N135" s="6">
        <f t="shared" si="36"/>
        <v>9.216543407905875E-2</v>
      </c>
      <c r="O135" s="6">
        <f t="shared" si="37"/>
        <v>0.19376725469093636</v>
      </c>
      <c r="P135" s="6">
        <f t="shared" si="35"/>
        <v>9.7299240090367611E-2</v>
      </c>
      <c r="Q135" s="11"/>
    </row>
    <row r="136" spans="1:17" ht="20.25" customHeight="1" x14ac:dyDescent="0.3">
      <c r="A136" s="15" t="s">
        <v>142</v>
      </c>
      <c r="B136" s="1" t="s">
        <v>476</v>
      </c>
      <c r="C136" s="1">
        <v>4327</v>
      </c>
      <c r="D136" s="1">
        <v>3706</v>
      </c>
      <c r="E136" s="1">
        <v>3933</v>
      </c>
      <c r="F136" s="23">
        <v>4159</v>
      </c>
      <c r="H136" s="1" t="str">
        <f t="shared" si="30"/>
        <v>管理费用(万元)</v>
      </c>
      <c r="I136" s="6">
        <f t="shared" si="31"/>
        <v>4.5012431212225236E-2</v>
      </c>
      <c r="J136" s="6">
        <f t="shared" si="32"/>
        <v>4.2058673324632583E-2</v>
      </c>
      <c r="K136" s="6">
        <f t="shared" si="33"/>
        <v>4.5593656534742989E-2</v>
      </c>
      <c r="M136" s="1" t="str">
        <f t="shared" si="34"/>
        <v>管理费用(万元)</v>
      </c>
      <c r="N136" s="6">
        <f t="shared" si="36"/>
        <v>1.328743720662362E-2</v>
      </c>
      <c r="O136" s="6">
        <f t="shared" si="37"/>
        <v>0.16756610901241231</v>
      </c>
      <c r="P136" s="6">
        <f t="shared" si="35"/>
        <v>-5.7716755657259089E-2</v>
      </c>
      <c r="Q136" s="11"/>
    </row>
    <row r="137" spans="1:17" ht="20.25" customHeight="1" x14ac:dyDescent="0.3">
      <c r="A137" s="15" t="s">
        <v>143</v>
      </c>
      <c r="B137" s="1" t="s">
        <v>477</v>
      </c>
      <c r="C137" s="1">
        <v>-71</v>
      </c>
      <c r="D137" s="1">
        <v>-344</v>
      </c>
      <c r="E137" s="1">
        <v>-994</v>
      </c>
      <c r="F137" s="23">
        <v>-208</v>
      </c>
      <c r="H137" s="1" t="str">
        <f t="shared" si="30"/>
        <v>财务费用(万元)</v>
      </c>
      <c r="I137" s="6">
        <f t="shared" si="31"/>
        <v>-7.3859085187612478E-4</v>
      </c>
      <c r="J137" s="6">
        <f t="shared" si="32"/>
        <v>-3.9039891051466831E-3</v>
      </c>
      <c r="K137" s="6">
        <f t="shared" si="33"/>
        <v>-1.1523034476362709E-2</v>
      </c>
      <c r="M137" s="1" t="str">
        <f t="shared" si="34"/>
        <v>财务费用(万元)</v>
      </c>
      <c r="N137" s="6">
        <f t="shared" si="36"/>
        <v>-0.30112687851617215</v>
      </c>
      <c r="O137" s="6">
        <f t="shared" si="37"/>
        <v>-0.79360465116279066</v>
      </c>
      <c r="P137" s="6">
        <f t="shared" si="35"/>
        <v>-0.65392354124748486</v>
      </c>
      <c r="Q137" s="11"/>
    </row>
    <row r="138" spans="1:17" ht="20.25" customHeight="1" x14ac:dyDescent="0.3">
      <c r="A138" s="15" t="s">
        <v>144</v>
      </c>
      <c r="B138" s="1" t="s">
        <v>478</v>
      </c>
      <c r="C138" s="1">
        <v>-553</v>
      </c>
      <c r="D138" s="1">
        <v>-244</v>
      </c>
      <c r="E138" s="1">
        <v>140</v>
      </c>
      <c r="F138" s="23">
        <v>-25</v>
      </c>
      <c r="H138" s="1" t="str">
        <f t="shared" si="30"/>
        <v>资产减值损失(万元)</v>
      </c>
      <c r="I138" s="6">
        <f t="shared" si="31"/>
        <v>-5.7526864941900985E-3</v>
      </c>
      <c r="J138" s="6">
        <f t="shared" si="32"/>
        <v>-2.7691085513249732E-3</v>
      </c>
      <c r="K138" s="6">
        <f t="shared" si="33"/>
        <v>1.6229626023046069E-3</v>
      </c>
      <c r="M138" s="1" t="str">
        <f t="shared" si="34"/>
        <v>资产减值损失(万元)</v>
      </c>
      <c r="N138" s="6">
        <f t="shared" si="36"/>
        <v>1.8071247126481289</v>
      </c>
      <c r="O138" s="6">
        <f t="shared" si="37"/>
        <v>1.2663934426229506</v>
      </c>
      <c r="P138" s="6">
        <f t="shared" si="35"/>
        <v>-2.7428571428571429</v>
      </c>
      <c r="Q138" s="11"/>
    </row>
    <row r="139" spans="1:17" ht="20.25" customHeight="1" x14ac:dyDescent="0.3">
      <c r="A139" s="15" t="s">
        <v>145</v>
      </c>
      <c r="B139" s="1" t="s">
        <v>479</v>
      </c>
      <c r="C139" s="1">
        <v>0</v>
      </c>
      <c r="D139" s="1">
        <v>0</v>
      </c>
      <c r="E139" s="1">
        <v>0</v>
      </c>
      <c r="F139" s="23">
        <v>0</v>
      </c>
      <c r="H139" s="1" t="str">
        <f t="shared" si="30"/>
        <v>公允价值变动收益(万元)</v>
      </c>
      <c r="I139" s="6">
        <f t="shared" si="31"/>
        <v>0</v>
      </c>
      <c r="J139" s="6">
        <f t="shared" si="32"/>
        <v>0</v>
      </c>
      <c r="K139" s="6">
        <f t="shared" si="33"/>
        <v>0</v>
      </c>
      <c r="M139" s="1" t="str">
        <f t="shared" si="34"/>
        <v>公允价值变动收益(万元)</v>
      </c>
      <c r="N139" s="6">
        <f t="shared" si="36"/>
        <v>0</v>
      </c>
      <c r="O139" s="6">
        <f t="shared" si="37"/>
        <v>0</v>
      </c>
      <c r="P139" s="6">
        <f t="shared" si="35"/>
        <v>0</v>
      </c>
      <c r="Q139" s="11"/>
    </row>
    <row r="140" spans="1:17" ht="20.25" customHeight="1" x14ac:dyDescent="0.3">
      <c r="A140" s="15" t="s">
        <v>146</v>
      </c>
      <c r="B140" s="1" t="s">
        <v>480</v>
      </c>
      <c r="C140" s="1">
        <v>1327</v>
      </c>
      <c r="D140" s="1">
        <v>1258</v>
      </c>
      <c r="E140" s="1">
        <v>1458</v>
      </c>
      <c r="F140" s="23">
        <v>387</v>
      </c>
      <c r="H140" s="1" t="str">
        <f t="shared" si="30"/>
        <v>投资收益(万元)</v>
      </c>
      <c r="I140" s="6">
        <f t="shared" si="31"/>
        <v>1.3804367048445319E-2</v>
      </c>
      <c r="J140" s="6">
        <f t="shared" si="32"/>
        <v>1.4276797367077114E-2</v>
      </c>
      <c r="K140" s="6">
        <f t="shared" si="33"/>
        <v>1.6901996244000836E-2</v>
      </c>
      <c r="M140" s="1" t="str">
        <f t="shared" si="34"/>
        <v>投资收益(万元)</v>
      </c>
      <c r="N140" s="6">
        <f t="shared" si="36"/>
        <v>0.5079489965552233</v>
      </c>
      <c r="O140" s="6">
        <f t="shared" si="37"/>
        <v>5.4848966613672445E-2</v>
      </c>
      <c r="P140" s="6">
        <f t="shared" si="35"/>
        <v>-0.13717421124828533</v>
      </c>
      <c r="Q140" s="11"/>
    </row>
    <row r="141" spans="1:17" ht="20.25" customHeight="1" x14ac:dyDescent="0.3">
      <c r="A141" s="15" t="s">
        <v>147</v>
      </c>
      <c r="B141" s="1" t="s">
        <v>481</v>
      </c>
      <c r="C141" s="1">
        <v>0</v>
      </c>
      <c r="D141" s="1">
        <v>0</v>
      </c>
      <c r="E141" s="1">
        <v>0</v>
      </c>
      <c r="F141" s="23">
        <v>0</v>
      </c>
      <c r="H141" s="1" t="str">
        <f t="shared" si="30"/>
        <v>对联营企业和合营企业的投资收益(万元)</v>
      </c>
      <c r="I141" s="6">
        <f t="shared" si="31"/>
        <v>0</v>
      </c>
      <c r="J141" s="6">
        <f t="shared" si="32"/>
        <v>0</v>
      </c>
      <c r="K141" s="6">
        <f t="shared" si="33"/>
        <v>0</v>
      </c>
      <c r="M141" s="1" t="str">
        <f t="shared" si="34"/>
        <v>对联营企业和合营企业的投资收益(万元)</v>
      </c>
      <c r="N141" s="6">
        <f t="shared" si="36"/>
        <v>0</v>
      </c>
      <c r="O141" s="6">
        <f t="shared" si="37"/>
        <v>0</v>
      </c>
      <c r="P141" s="6">
        <f t="shared" si="35"/>
        <v>0</v>
      </c>
      <c r="Q141" s="11"/>
    </row>
    <row r="142" spans="1:17" ht="20.25" customHeight="1" x14ac:dyDescent="0.3">
      <c r="A142" s="15" t="s">
        <v>148</v>
      </c>
      <c r="B142" s="1" t="s">
        <v>482</v>
      </c>
      <c r="C142" s="1">
        <v>0</v>
      </c>
      <c r="D142" s="1">
        <v>0</v>
      </c>
      <c r="E142" s="1">
        <v>0</v>
      </c>
      <c r="F142" s="23">
        <v>0</v>
      </c>
      <c r="H142" s="1" t="str">
        <f t="shared" si="30"/>
        <v>汇兑收益(万元)</v>
      </c>
      <c r="I142" s="6">
        <f t="shared" si="31"/>
        <v>0</v>
      </c>
      <c r="J142" s="6">
        <f t="shared" si="32"/>
        <v>0</v>
      </c>
      <c r="K142" s="6">
        <f t="shared" si="33"/>
        <v>0</v>
      </c>
      <c r="M142" s="1" t="str">
        <f t="shared" si="34"/>
        <v>汇兑收益(万元)</v>
      </c>
      <c r="N142" s="6">
        <f t="shared" si="36"/>
        <v>0</v>
      </c>
      <c r="O142" s="6">
        <f t="shared" si="37"/>
        <v>0</v>
      </c>
      <c r="P142" s="6">
        <f t="shared" si="35"/>
        <v>0</v>
      </c>
      <c r="Q142" s="11"/>
    </row>
    <row r="143" spans="1:17" ht="20.25" customHeight="1" x14ac:dyDescent="0.3">
      <c r="A143" s="15" t="s">
        <v>149</v>
      </c>
      <c r="B143" s="1" t="s">
        <v>483</v>
      </c>
      <c r="C143" s="1">
        <v>0</v>
      </c>
      <c r="D143" s="1">
        <v>0</v>
      </c>
      <c r="E143" s="1">
        <v>0</v>
      </c>
      <c r="F143" s="23">
        <v>0</v>
      </c>
      <c r="H143" s="1" t="str">
        <f t="shared" si="30"/>
        <v>期货损益(万元)</v>
      </c>
      <c r="I143" s="6">
        <f t="shared" si="31"/>
        <v>0</v>
      </c>
      <c r="J143" s="6">
        <f t="shared" si="32"/>
        <v>0</v>
      </c>
      <c r="K143" s="6">
        <f t="shared" si="33"/>
        <v>0</v>
      </c>
      <c r="M143" s="1" t="str">
        <f t="shared" si="34"/>
        <v>期货损益(万元)</v>
      </c>
      <c r="N143" s="6">
        <f t="shared" si="36"/>
        <v>0</v>
      </c>
      <c r="O143" s="6">
        <f t="shared" si="37"/>
        <v>0</v>
      </c>
      <c r="P143" s="6">
        <f t="shared" si="35"/>
        <v>0</v>
      </c>
      <c r="Q143" s="11"/>
    </row>
    <row r="144" spans="1:17" ht="20.25" customHeight="1" x14ac:dyDescent="0.3">
      <c r="A144" s="15" t="s">
        <v>150</v>
      </c>
      <c r="B144" s="1" t="s">
        <v>484</v>
      </c>
      <c r="C144" s="1">
        <v>0</v>
      </c>
      <c r="D144" s="1">
        <v>0</v>
      </c>
      <c r="E144" s="1">
        <v>0</v>
      </c>
      <c r="F144" s="23">
        <v>0</v>
      </c>
      <c r="H144" s="1" t="str">
        <f t="shared" si="30"/>
        <v>托管收益(万元)</v>
      </c>
      <c r="I144" s="6">
        <f t="shared" si="31"/>
        <v>0</v>
      </c>
      <c r="J144" s="6">
        <f t="shared" si="32"/>
        <v>0</v>
      </c>
      <c r="K144" s="6">
        <f t="shared" si="33"/>
        <v>0</v>
      </c>
      <c r="M144" s="1" t="str">
        <f t="shared" si="34"/>
        <v>托管收益(万元)</v>
      </c>
      <c r="N144" s="6">
        <f t="shared" si="36"/>
        <v>0</v>
      </c>
      <c r="O144" s="6">
        <f t="shared" si="37"/>
        <v>0</v>
      </c>
      <c r="P144" s="6">
        <f t="shared" si="35"/>
        <v>0</v>
      </c>
      <c r="Q144" s="11"/>
    </row>
    <row r="145" spans="1:17" ht="20.25" customHeight="1" x14ac:dyDescent="0.3">
      <c r="A145" s="15" t="s">
        <v>151</v>
      </c>
      <c r="B145" s="1" t="s">
        <v>485</v>
      </c>
      <c r="C145" s="1">
        <v>0</v>
      </c>
      <c r="D145" s="1">
        <v>0</v>
      </c>
      <c r="E145" s="1">
        <v>0</v>
      </c>
      <c r="F145" s="23">
        <v>0</v>
      </c>
      <c r="H145" s="1" t="str">
        <f t="shared" si="30"/>
        <v>补贴收入(万元)</v>
      </c>
      <c r="I145" s="6">
        <f t="shared" si="31"/>
        <v>0</v>
      </c>
      <c r="J145" s="6">
        <f t="shared" si="32"/>
        <v>0</v>
      </c>
      <c r="K145" s="6">
        <f t="shared" si="33"/>
        <v>0</v>
      </c>
      <c r="M145" s="1" t="str">
        <f t="shared" si="34"/>
        <v>补贴收入(万元)</v>
      </c>
      <c r="N145" s="6">
        <f t="shared" si="36"/>
        <v>0</v>
      </c>
      <c r="O145" s="6">
        <f t="shared" si="37"/>
        <v>0</v>
      </c>
      <c r="P145" s="6">
        <f t="shared" si="35"/>
        <v>0</v>
      </c>
      <c r="Q145" s="11"/>
    </row>
    <row r="146" spans="1:17" ht="20.25" customHeight="1" x14ac:dyDescent="0.3">
      <c r="A146" s="15" t="s">
        <v>152</v>
      </c>
      <c r="B146" s="1" t="s">
        <v>486</v>
      </c>
      <c r="C146" s="1">
        <v>0</v>
      </c>
      <c r="D146" s="1">
        <v>0</v>
      </c>
      <c r="E146" s="1">
        <v>0</v>
      </c>
      <c r="F146" s="23">
        <v>0</v>
      </c>
      <c r="H146" s="1" t="str">
        <f t="shared" si="30"/>
        <v>其他业务利润(万元)</v>
      </c>
      <c r="I146" s="6">
        <f t="shared" si="31"/>
        <v>0</v>
      </c>
      <c r="J146" s="6">
        <f t="shared" si="32"/>
        <v>0</v>
      </c>
      <c r="K146" s="6">
        <f t="shared" si="33"/>
        <v>0</v>
      </c>
      <c r="M146" s="1" t="str">
        <f t="shared" si="34"/>
        <v>其他业务利润(万元)</v>
      </c>
      <c r="N146" s="6">
        <f t="shared" si="36"/>
        <v>0</v>
      </c>
      <c r="O146" s="6">
        <f t="shared" si="37"/>
        <v>0</v>
      </c>
      <c r="P146" s="6">
        <f t="shared" si="35"/>
        <v>0</v>
      </c>
      <c r="Q146" s="11"/>
    </row>
    <row r="147" spans="1:17" ht="20.25" customHeight="1" x14ac:dyDescent="0.3">
      <c r="A147" s="15" t="s">
        <v>153</v>
      </c>
      <c r="B147" s="1" t="s">
        <v>487</v>
      </c>
      <c r="C147" s="1">
        <v>19249</v>
      </c>
      <c r="D147" s="1">
        <v>20993</v>
      </c>
      <c r="E147" s="1">
        <v>23072</v>
      </c>
      <c r="F147" s="23">
        <v>20320</v>
      </c>
      <c r="H147" s="1" t="str">
        <f t="shared" si="30"/>
        <v>营业利润(万元)</v>
      </c>
      <c r="I147" s="6">
        <f t="shared" si="31"/>
        <v>0.20024134236286656</v>
      </c>
      <c r="J147" s="6">
        <f t="shared" si="32"/>
        <v>0.23824547466379165</v>
      </c>
      <c r="K147" s="6">
        <f t="shared" si="33"/>
        <v>0.2674642368597992</v>
      </c>
      <c r="M147" s="1" t="str">
        <f t="shared" si="34"/>
        <v>营业利润(万元)</v>
      </c>
      <c r="N147" s="6">
        <f t="shared" si="36"/>
        <v>-1.788693239247785E-2</v>
      </c>
      <c r="O147" s="6">
        <f t="shared" si="37"/>
        <v>-8.3075310817891657E-2</v>
      </c>
      <c r="P147" s="6">
        <f t="shared" si="35"/>
        <v>-9.010922330097082E-2</v>
      </c>
      <c r="Q147" s="11"/>
    </row>
    <row r="148" spans="1:17" ht="20.25" customHeight="1" x14ac:dyDescent="0.3">
      <c r="A148" s="15" t="s">
        <v>154</v>
      </c>
      <c r="B148" s="1" t="s">
        <v>488</v>
      </c>
      <c r="C148" s="1">
        <v>1120</v>
      </c>
      <c r="D148" s="1">
        <v>737</v>
      </c>
      <c r="E148" s="1">
        <v>352</v>
      </c>
      <c r="F148" s="23">
        <v>384</v>
      </c>
      <c r="H148" s="1" t="str">
        <f t="shared" si="30"/>
        <v>营业外收入(万元)</v>
      </c>
      <c r="I148" s="6">
        <f t="shared" si="31"/>
        <v>1.1651010621144504E-2</v>
      </c>
      <c r="J148" s="6">
        <f t="shared" si="32"/>
        <v>8.3640696816660049E-3</v>
      </c>
      <c r="K148" s="6">
        <f t="shared" si="33"/>
        <v>4.0805916857944401E-3</v>
      </c>
      <c r="M148" s="1" t="str">
        <f t="shared" si="34"/>
        <v>营业外收入(万元)</v>
      </c>
      <c r="N148" s="6">
        <f t="shared" si="36"/>
        <v>0.42876981371889933</v>
      </c>
      <c r="O148" s="6">
        <f t="shared" si="37"/>
        <v>0.51967435549525098</v>
      </c>
      <c r="P148" s="6">
        <f t="shared" si="35"/>
        <v>1.09375</v>
      </c>
      <c r="Q148" s="11"/>
    </row>
    <row r="149" spans="1:17" ht="20.25" customHeight="1" x14ac:dyDescent="0.3">
      <c r="A149" s="15" t="s">
        <v>155</v>
      </c>
      <c r="B149" s="1" t="s">
        <v>489</v>
      </c>
      <c r="C149" s="1">
        <v>119</v>
      </c>
      <c r="D149" s="1">
        <v>204</v>
      </c>
      <c r="E149" s="1">
        <v>34</v>
      </c>
      <c r="F149" s="23">
        <v>8</v>
      </c>
      <c r="H149" s="1" t="str">
        <f t="shared" si="30"/>
        <v>营业外支出(万元)</v>
      </c>
      <c r="I149" s="6">
        <f t="shared" si="31"/>
        <v>1.2379198784966035E-3</v>
      </c>
      <c r="J149" s="6">
        <f t="shared" si="32"/>
        <v>2.3151563297962889E-3</v>
      </c>
      <c r="K149" s="6">
        <f t="shared" si="33"/>
        <v>3.9414806055969027E-4</v>
      </c>
      <c r="M149" s="1" t="str">
        <f t="shared" si="34"/>
        <v>营业外支出(万元)</v>
      </c>
      <c r="N149" s="6">
        <f t="shared" si="36"/>
        <v>1.4593423672293637</v>
      </c>
      <c r="O149" s="6">
        <f t="shared" si="37"/>
        <v>-0.41666666666666663</v>
      </c>
      <c r="P149" s="6">
        <f t="shared" si="35"/>
        <v>5</v>
      </c>
      <c r="Q149" s="11"/>
    </row>
    <row r="150" spans="1:17" ht="20.25" customHeight="1" x14ac:dyDescent="0.3">
      <c r="A150" s="15" t="s">
        <v>156</v>
      </c>
      <c r="B150" s="1" t="s">
        <v>490</v>
      </c>
      <c r="C150" s="1">
        <v>0</v>
      </c>
      <c r="D150" s="1">
        <v>8</v>
      </c>
      <c r="E150" s="1">
        <v>13</v>
      </c>
      <c r="F150" s="23">
        <v>0</v>
      </c>
      <c r="H150" s="1" t="str">
        <f t="shared" si="30"/>
        <v>非流动资产处置损失(万元)</v>
      </c>
      <c r="I150" s="6">
        <f t="shared" si="31"/>
        <v>0</v>
      </c>
      <c r="J150" s="6">
        <f t="shared" si="32"/>
        <v>9.0790444305736818E-5</v>
      </c>
      <c r="K150" s="6">
        <f t="shared" si="33"/>
        <v>1.507036702139992E-4</v>
      </c>
      <c r="M150" s="1" t="str">
        <f t="shared" si="34"/>
        <v>非流动资产处置损失(万元)</v>
      </c>
      <c r="N150" s="6">
        <f t="shared" si="36"/>
        <v>0</v>
      </c>
      <c r="O150" s="6">
        <f t="shared" si="37"/>
        <v>-1</v>
      </c>
      <c r="P150" s="6">
        <f t="shared" si="35"/>
        <v>-0.38461538461538458</v>
      </c>
      <c r="Q150" s="11"/>
    </row>
    <row r="151" spans="1:17" ht="20.25" customHeight="1" x14ac:dyDescent="0.3">
      <c r="A151" s="15" t="s">
        <v>157</v>
      </c>
      <c r="B151" s="1" t="s">
        <v>491</v>
      </c>
      <c r="C151" s="1">
        <v>20250</v>
      </c>
      <c r="D151" s="1">
        <v>21526</v>
      </c>
      <c r="E151" s="1">
        <v>23390</v>
      </c>
      <c r="F151" s="23">
        <v>20696</v>
      </c>
      <c r="H151" s="1" t="str">
        <f t="shared" si="30"/>
        <v>利润总额(万元)</v>
      </c>
      <c r="I151" s="6">
        <f t="shared" si="31"/>
        <v>0.21065443310551446</v>
      </c>
      <c r="J151" s="6">
        <f t="shared" si="32"/>
        <v>0.24429438801566136</v>
      </c>
      <c r="K151" s="6">
        <f t="shared" si="33"/>
        <v>0.27115068048503399</v>
      </c>
      <c r="M151" s="1" t="str">
        <f t="shared" si="34"/>
        <v>利润总额(万元)</v>
      </c>
      <c r="N151" s="6">
        <f t="shared" si="36"/>
        <v>-7.2355800092118727E-3</v>
      </c>
      <c r="O151" s="6">
        <f t="shared" si="37"/>
        <v>-5.9277153210071543E-2</v>
      </c>
      <c r="P151" s="6">
        <f t="shared" si="35"/>
        <v>-7.9692176143651094E-2</v>
      </c>
      <c r="Q151" s="11"/>
    </row>
    <row r="152" spans="1:17" ht="20.25" customHeight="1" x14ac:dyDescent="0.3">
      <c r="A152" s="15" t="s">
        <v>158</v>
      </c>
      <c r="B152" s="1" t="s">
        <v>492</v>
      </c>
      <c r="C152" s="1">
        <v>4391</v>
      </c>
      <c r="D152" s="1">
        <v>4590</v>
      </c>
      <c r="E152" s="1">
        <v>5099</v>
      </c>
      <c r="F152" s="23">
        <v>4940</v>
      </c>
      <c r="H152" s="1" t="str">
        <f t="shared" si="30"/>
        <v>所得税费用(万元)</v>
      </c>
      <c r="I152" s="6">
        <f t="shared" si="31"/>
        <v>4.5678203247719214E-2</v>
      </c>
      <c r="J152" s="6">
        <f t="shared" si="32"/>
        <v>5.2091017420416504E-2</v>
      </c>
      <c r="K152" s="6">
        <f t="shared" si="33"/>
        <v>5.9110616493937077E-2</v>
      </c>
      <c r="M152" s="1" t="str">
        <f t="shared" si="34"/>
        <v>所得税费用(万元)</v>
      </c>
      <c r="N152" s="6">
        <f t="shared" si="36"/>
        <v>-3.8508396345528939E-2</v>
      </c>
      <c r="O152" s="6">
        <f t="shared" si="37"/>
        <v>-4.3355119825708055E-2</v>
      </c>
      <c r="P152" s="6">
        <f t="shared" si="35"/>
        <v>-9.9823494802902535E-2</v>
      </c>
      <c r="Q152" s="11"/>
    </row>
    <row r="153" spans="1:17" ht="20.25" customHeight="1" x14ac:dyDescent="0.3">
      <c r="A153" s="15" t="s">
        <v>159</v>
      </c>
      <c r="B153" s="1" t="s">
        <v>493</v>
      </c>
      <c r="C153" s="1">
        <v>0</v>
      </c>
      <c r="D153" s="1">
        <v>0</v>
      </c>
      <c r="E153" s="1">
        <v>0</v>
      </c>
      <c r="F153" s="23">
        <v>0</v>
      </c>
      <c r="H153" s="1" t="str">
        <f t="shared" si="30"/>
        <v>未确认投资损失(万元)</v>
      </c>
      <c r="I153" s="6">
        <f t="shared" si="31"/>
        <v>0</v>
      </c>
      <c r="J153" s="6">
        <f t="shared" si="32"/>
        <v>0</v>
      </c>
      <c r="K153" s="6">
        <f t="shared" si="33"/>
        <v>0</v>
      </c>
      <c r="M153" s="1" t="str">
        <f t="shared" si="34"/>
        <v>未确认投资损失(万元)</v>
      </c>
      <c r="N153" s="6">
        <f t="shared" si="36"/>
        <v>0</v>
      </c>
      <c r="O153" s="6">
        <f t="shared" si="37"/>
        <v>0</v>
      </c>
      <c r="P153" s="6">
        <f t="shared" si="35"/>
        <v>0</v>
      </c>
      <c r="Q153" s="11"/>
    </row>
    <row r="154" spans="1:17" ht="20.25" customHeight="1" x14ac:dyDescent="0.3">
      <c r="A154" s="15" t="s">
        <v>160</v>
      </c>
      <c r="B154" s="1" t="s">
        <v>494</v>
      </c>
      <c r="C154" s="1">
        <v>15859</v>
      </c>
      <c r="D154" s="1">
        <v>16936</v>
      </c>
      <c r="E154" s="1">
        <v>18291</v>
      </c>
      <c r="F154" s="23">
        <v>15756</v>
      </c>
      <c r="H154" s="1" t="str">
        <f t="shared" si="30"/>
        <v>净利润(万元)</v>
      </c>
      <c r="I154" s="6">
        <f t="shared" si="31"/>
        <v>0.16497622985779525</v>
      </c>
      <c r="J154" s="6">
        <f t="shared" si="32"/>
        <v>0.19220337059524484</v>
      </c>
      <c r="K154" s="6">
        <f t="shared" si="33"/>
        <v>0.2120400639910969</v>
      </c>
      <c r="M154" s="1" t="str">
        <f t="shared" si="34"/>
        <v>净利润(万元)</v>
      </c>
      <c r="N154" s="6">
        <f t="shared" si="36"/>
        <v>2.1743329100998299E-3</v>
      </c>
      <c r="O154" s="6">
        <f t="shared" si="37"/>
        <v>-6.3592347661785564E-2</v>
      </c>
      <c r="P154" s="6">
        <f t="shared" si="35"/>
        <v>-7.4080148707014404E-2</v>
      </c>
      <c r="Q154" s="11"/>
    </row>
    <row r="155" spans="1:17" ht="20.25" customHeight="1" x14ac:dyDescent="0.3">
      <c r="A155" s="15" t="s">
        <v>161</v>
      </c>
      <c r="B155" s="1" t="s">
        <v>495</v>
      </c>
      <c r="C155" s="1">
        <v>15859</v>
      </c>
      <c r="D155" s="1">
        <v>16936</v>
      </c>
      <c r="E155" s="1">
        <v>18291</v>
      </c>
      <c r="F155" s="23">
        <v>15756</v>
      </c>
      <c r="H155" s="1" t="str">
        <f t="shared" si="30"/>
        <v>归属于母公司所有者的净利润(万元)</v>
      </c>
      <c r="I155" s="6">
        <f t="shared" si="31"/>
        <v>0.16497622985779525</v>
      </c>
      <c r="J155" s="6">
        <f t="shared" si="32"/>
        <v>0.19220337059524484</v>
      </c>
      <c r="K155" s="6">
        <f t="shared" si="33"/>
        <v>0.2120400639910969</v>
      </c>
      <c r="M155" s="1" t="str">
        <f t="shared" si="34"/>
        <v>归属于母公司所有者的净利润(万元)</v>
      </c>
      <c r="N155" s="6">
        <f t="shared" si="36"/>
        <v>2.1743329100998299E-3</v>
      </c>
      <c r="O155" s="6">
        <f t="shared" si="37"/>
        <v>-6.3592347661785564E-2</v>
      </c>
      <c r="P155" s="6">
        <f t="shared" si="35"/>
        <v>-7.4080148707014404E-2</v>
      </c>
      <c r="Q155" s="11"/>
    </row>
    <row r="156" spans="1:17" ht="20.25" customHeight="1" x14ac:dyDescent="0.3">
      <c r="A156" s="15" t="s">
        <v>162</v>
      </c>
      <c r="B156" s="1" t="s">
        <v>496</v>
      </c>
      <c r="C156" s="1">
        <v>0</v>
      </c>
      <c r="D156" s="1">
        <v>0</v>
      </c>
      <c r="E156" s="1">
        <v>0</v>
      </c>
      <c r="F156" s="23">
        <v>0</v>
      </c>
      <c r="H156" s="1" t="str">
        <f t="shared" si="30"/>
        <v>被合并方在合并前实现净利润(万元)</v>
      </c>
      <c r="I156" s="6">
        <f t="shared" si="31"/>
        <v>0</v>
      </c>
      <c r="J156" s="6">
        <f t="shared" si="32"/>
        <v>0</v>
      </c>
      <c r="K156" s="6">
        <f t="shared" si="33"/>
        <v>0</v>
      </c>
      <c r="M156" s="1" t="str">
        <f t="shared" si="34"/>
        <v>被合并方在合并前实现净利润(万元)</v>
      </c>
      <c r="N156" s="6">
        <f t="shared" si="36"/>
        <v>0</v>
      </c>
      <c r="O156" s="6">
        <f t="shared" si="37"/>
        <v>0</v>
      </c>
      <c r="P156" s="6">
        <f t="shared" si="35"/>
        <v>0</v>
      </c>
      <c r="Q156" s="11"/>
    </row>
    <row r="157" spans="1:17" ht="20.25" customHeight="1" x14ac:dyDescent="0.3">
      <c r="A157" s="15" t="s">
        <v>163</v>
      </c>
      <c r="B157" s="1" t="s">
        <v>497</v>
      </c>
      <c r="C157" s="1">
        <v>0</v>
      </c>
      <c r="D157" s="1">
        <v>0</v>
      </c>
      <c r="E157" s="1">
        <v>0</v>
      </c>
      <c r="F157" s="23">
        <v>0</v>
      </c>
      <c r="H157" s="1" t="str">
        <f t="shared" si="30"/>
        <v>少数股东损益(万元)</v>
      </c>
      <c r="I157" s="6">
        <f t="shared" si="31"/>
        <v>0</v>
      </c>
      <c r="J157" s="6">
        <f t="shared" si="32"/>
        <v>0</v>
      </c>
      <c r="K157" s="6">
        <f t="shared" si="33"/>
        <v>0</v>
      </c>
      <c r="M157" s="1" t="str">
        <f t="shared" si="34"/>
        <v>少数股东损益(万元)</v>
      </c>
      <c r="N157" s="6">
        <f t="shared" si="36"/>
        <v>0</v>
      </c>
      <c r="O157" s="6">
        <f t="shared" si="37"/>
        <v>0</v>
      </c>
      <c r="P157" s="6">
        <f t="shared" si="35"/>
        <v>0</v>
      </c>
      <c r="Q157" s="11"/>
    </row>
    <row r="158" spans="1:17" ht="20.25" customHeight="1" x14ac:dyDescent="0.3">
      <c r="A158" s="15" t="s">
        <v>164</v>
      </c>
      <c r="B158" s="1" t="s">
        <v>498</v>
      </c>
      <c r="C158" s="1">
        <v>0.19</v>
      </c>
      <c r="D158" s="1">
        <v>0.2</v>
      </c>
      <c r="E158" s="1">
        <v>0.21</v>
      </c>
      <c r="F158" s="23">
        <v>0.37</v>
      </c>
      <c r="H158" s="1" t="str">
        <f t="shared" si="30"/>
        <v>基本每股收益</v>
      </c>
      <c r="I158" s="6">
        <f t="shared" si="31"/>
        <v>1.9765107303727282E-6</v>
      </c>
      <c r="J158" s="6">
        <f t="shared" si="32"/>
        <v>2.2697611076434205E-6</v>
      </c>
      <c r="K158" s="6">
        <f t="shared" si="33"/>
        <v>2.4344439034569104E-6</v>
      </c>
      <c r="M158" s="1" t="str">
        <f t="shared" si="34"/>
        <v>基本每股收益</v>
      </c>
      <c r="N158" s="6">
        <f t="shared" si="36"/>
        <v>-0.1992124871866241</v>
      </c>
      <c r="O158" s="6">
        <f t="shared" si="37"/>
        <v>-5.0000000000000044E-2</v>
      </c>
      <c r="P158" s="6">
        <f t="shared" si="35"/>
        <v>-4.7619047619047561E-2</v>
      </c>
      <c r="Q158" s="11"/>
    </row>
    <row r="159" spans="1:17" x14ac:dyDescent="0.3"/>
    <row r="160" spans="1:17" x14ac:dyDescent="0.3"/>
    <row r="161" spans="1:17" s="5" customFormat="1" ht="36" customHeight="1" x14ac:dyDescent="0.3">
      <c r="B161" s="148" t="s">
        <v>11</v>
      </c>
      <c r="C161" s="148"/>
      <c r="D161" s="148"/>
      <c r="E161" s="148"/>
      <c r="H161" s="145" t="s">
        <v>3</v>
      </c>
      <c r="I161" s="145"/>
      <c r="J161" s="145"/>
      <c r="K161" s="145"/>
      <c r="M161" s="145" t="s">
        <v>7</v>
      </c>
      <c r="N161" s="145"/>
      <c r="O161" s="145"/>
      <c r="P161" s="145"/>
    </row>
    <row r="162" spans="1:17" ht="20.25" customHeight="1" x14ac:dyDescent="0.3">
      <c r="A162" s="12"/>
      <c r="B162" s="1" t="s">
        <v>346</v>
      </c>
      <c r="C162" s="2">
        <v>42916</v>
      </c>
      <c r="D162" s="2">
        <v>42551</v>
      </c>
      <c r="E162" s="2">
        <v>42185</v>
      </c>
      <c r="F162" s="2">
        <v>41820</v>
      </c>
      <c r="H162" s="1" t="str">
        <f>B162</f>
        <v>报告日期</v>
      </c>
      <c r="I162" s="2">
        <f>C162</f>
        <v>42916</v>
      </c>
      <c r="J162" s="2">
        <f>D162</f>
        <v>42551</v>
      </c>
      <c r="K162" s="2">
        <f>E162</f>
        <v>42185</v>
      </c>
      <c r="M162" s="1" t="str">
        <f t="shared" ref="M162:M193" si="38">B162</f>
        <v>报告日期</v>
      </c>
      <c r="N162" s="1" t="s">
        <v>8</v>
      </c>
      <c r="O162" s="2">
        <f>C162</f>
        <v>42916</v>
      </c>
      <c r="P162" s="2">
        <f>D162</f>
        <v>42551</v>
      </c>
      <c r="Q162" s="10"/>
    </row>
    <row r="163" spans="1:17" ht="20.25" customHeight="1" x14ac:dyDescent="0.3">
      <c r="A163" s="12" t="s">
        <v>177</v>
      </c>
      <c r="B163" s="1" t="s">
        <v>499</v>
      </c>
      <c r="C163" s="1">
        <v>127829</v>
      </c>
      <c r="D163" s="1">
        <v>112586</v>
      </c>
      <c r="E163" s="1">
        <v>97394</v>
      </c>
      <c r="F163" s="23">
        <v>99998</v>
      </c>
      <c r="H163" s="1" t="str">
        <f t="shared" ref="H163:H193" si="39">B163</f>
        <v>销售商品、提供劳务收到的现金(万元)</v>
      </c>
      <c r="I163" s="6">
        <f t="shared" ref="I163:I194" si="40">C163/C$187</f>
        <v>-7.4771291530182502</v>
      </c>
      <c r="J163" s="6">
        <f t="shared" ref="J163:J194" si="41">D163/D$187</f>
        <v>14.486103962943901</v>
      </c>
      <c r="K163" s="6">
        <f t="shared" ref="K163:K194" si="42">E163/E$187</f>
        <v>-21.145028224055579</v>
      </c>
      <c r="M163" s="1" t="str">
        <f t="shared" si="38"/>
        <v>销售商品、提供劳务收到的现金(万元)</v>
      </c>
      <c r="N163" s="6">
        <f>IFERROR(POWER(C163/F163,1/3)-1,0)</f>
        <v>8.5290560847599783E-2</v>
      </c>
      <c r="O163" s="6">
        <f>IFERROR(C163/D163-1,0)</f>
        <v>0.13538983532588422</v>
      </c>
      <c r="P163" s="6">
        <f>IFERROR(D163/E163-1,0)</f>
        <v>0.15598496827319952</v>
      </c>
      <c r="Q163" s="11"/>
    </row>
    <row r="164" spans="1:17" ht="20.25" customHeight="1" x14ac:dyDescent="0.3">
      <c r="A164" s="12" t="s">
        <v>178</v>
      </c>
      <c r="B164" s="1" t="s">
        <v>500</v>
      </c>
      <c r="C164" s="1">
        <v>0</v>
      </c>
      <c r="D164" s="1">
        <v>0</v>
      </c>
      <c r="E164" s="1">
        <v>0</v>
      </c>
      <c r="F164" s="23">
        <v>0</v>
      </c>
      <c r="H164" s="1" t="str">
        <f t="shared" si="39"/>
        <v>客户存款和同业存放款项净增加额(万元)</v>
      </c>
      <c r="I164" s="6">
        <f t="shared" si="40"/>
        <v>0</v>
      </c>
      <c r="J164" s="6">
        <f t="shared" si="41"/>
        <v>0</v>
      </c>
      <c r="K164" s="6">
        <f t="shared" si="42"/>
        <v>0</v>
      </c>
      <c r="M164" s="1" t="str">
        <f t="shared" si="38"/>
        <v>客户存款和同业存放款项净增加额(万元)</v>
      </c>
      <c r="N164" s="6">
        <f t="shared" ref="N164:N227" si="43">IFERROR(POWER(C164/F164,1/3)-1,0)</f>
        <v>0</v>
      </c>
      <c r="O164" s="6">
        <f t="shared" ref="O164:O227" si="44">IFERROR(C164/D164-1,0)</f>
        <v>0</v>
      </c>
      <c r="P164" s="6">
        <f t="shared" ref="P164:P227" si="45">IFERROR(D164/E164-1,0)</f>
        <v>0</v>
      </c>
      <c r="Q164" s="11"/>
    </row>
    <row r="165" spans="1:17" ht="20.25" customHeight="1" x14ac:dyDescent="0.3">
      <c r="A165" s="12" t="s">
        <v>179</v>
      </c>
      <c r="B165" s="1" t="s">
        <v>501</v>
      </c>
      <c r="C165" s="1">
        <v>0</v>
      </c>
      <c r="D165" s="1">
        <v>0</v>
      </c>
      <c r="E165" s="1">
        <v>0</v>
      </c>
      <c r="F165" s="23">
        <v>0</v>
      </c>
      <c r="H165" s="1" t="str">
        <f t="shared" si="39"/>
        <v>向中央银行借款净增加额(万元</v>
      </c>
      <c r="I165" s="6">
        <f t="shared" si="40"/>
        <v>0</v>
      </c>
      <c r="J165" s="6">
        <f t="shared" si="41"/>
        <v>0</v>
      </c>
      <c r="K165" s="6">
        <f t="shared" si="42"/>
        <v>0</v>
      </c>
      <c r="M165" s="1" t="str">
        <f t="shared" si="38"/>
        <v>向中央银行借款净增加额(万元</v>
      </c>
      <c r="N165" s="6">
        <f t="shared" si="43"/>
        <v>0</v>
      </c>
      <c r="O165" s="6">
        <f t="shared" si="44"/>
        <v>0</v>
      </c>
      <c r="P165" s="6">
        <f t="shared" si="45"/>
        <v>0</v>
      </c>
      <c r="Q165" s="11"/>
    </row>
    <row r="166" spans="1:17" ht="20.25" customHeight="1" x14ac:dyDescent="0.3">
      <c r="A166" s="12" t="s">
        <v>179</v>
      </c>
      <c r="B166" s="1" t="s">
        <v>502</v>
      </c>
      <c r="C166" s="1">
        <v>0</v>
      </c>
      <c r="D166" s="1">
        <v>0</v>
      </c>
      <c r="E166" s="1">
        <v>0</v>
      </c>
      <c r="F166" s="23">
        <v>0</v>
      </c>
      <c r="H166" s="1" t="str">
        <f t="shared" si="39"/>
        <v>向其他金融机构拆入资金净增加额(万元)</v>
      </c>
      <c r="I166" s="6">
        <f t="shared" si="40"/>
        <v>0</v>
      </c>
      <c r="J166" s="6">
        <f t="shared" si="41"/>
        <v>0</v>
      </c>
      <c r="K166" s="6">
        <f t="shared" si="42"/>
        <v>0</v>
      </c>
      <c r="M166" s="1" t="str">
        <f t="shared" si="38"/>
        <v>向其他金融机构拆入资金净增加额(万元)</v>
      </c>
      <c r="N166" s="6">
        <f t="shared" si="43"/>
        <v>0</v>
      </c>
      <c r="O166" s="6">
        <f t="shared" si="44"/>
        <v>0</v>
      </c>
      <c r="P166" s="6">
        <f t="shared" si="45"/>
        <v>0</v>
      </c>
      <c r="Q166" s="11"/>
    </row>
    <row r="167" spans="1:17" ht="20.25" customHeight="1" x14ac:dyDescent="0.3">
      <c r="A167" s="15" t="s">
        <v>180</v>
      </c>
      <c r="B167" s="1" t="s">
        <v>503</v>
      </c>
      <c r="C167" s="1">
        <v>0</v>
      </c>
      <c r="D167" s="1">
        <v>0</v>
      </c>
      <c r="E167" s="1">
        <v>0</v>
      </c>
      <c r="F167" s="23">
        <v>0</v>
      </c>
      <c r="H167" s="1" t="str">
        <f t="shared" si="39"/>
        <v>收到原保险合同保费取得的现金(万元)</v>
      </c>
      <c r="I167" s="6">
        <f t="shared" si="40"/>
        <v>0</v>
      </c>
      <c r="J167" s="6">
        <f t="shared" si="41"/>
        <v>0</v>
      </c>
      <c r="K167" s="6">
        <f t="shared" si="42"/>
        <v>0</v>
      </c>
      <c r="M167" s="1" t="str">
        <f t="shared" si="38"/>
        <v>收到原保险合同保费取得的现金(万元)</v>
      </c>
      <c r="N167" s="6">
        <f t="shared" si="43"/>
        <v>0</v>
      </c>
      <c r="O167" s="6">
        <f t="shared" si="44"/>
        <v>0</v>
      </c>
      <c r="P167" s="6">
        <f t="shared" si="45"/>
        <v>0</v>
      </c>
      <c r="Q167" s="11"/>
    </row>
    <row r="168" spans="1:17" ht="20.25" customHeight="1" x14ac:dyDescent="0.3">
      <c r="A168" s="15" t="s">
        <v>181</v>
      </c>
      <c r="B168" s="1" t="s">
        <v>504</v>
      </c>
      <c r="C168" s="1">
        <v>0</v>
      </c>
      <c r="D168" s="1">
        <v>0</v>
      </c>
      <c r="E168" s="1">
        <v>0</v>
      </c>
      <c r="F168" s="23">
        <v>0</v>
      </c>
      <c r="H168" s="1" t="str">
        <f t="shared" si="39"/>
        <v>收到再保险业务现金净额(万元)</v>
      </c>
      <c r="I168" s="6">
        <f t="shared" si="40"/>
        <v>0</v>
      </c>
      <c r="J168" s="6">
        <f t="shared" si="41"/>
        <v>0</v>
      </c>
      <c r="K168" s="6">
        <f t="shared" si="42"/>
        <v>0</v>
      </c>
      <c r="M168" s="1" t="str">
        <f t="shared" si="38"/>
        <v>收到再保险业务现金净额(万元)</v>
      </c>
      <c r="N168" s="6">
        <f t="shared" si="43"/>
        <v>0</v>
      </c>
      <c r="O168" s="6">
        <f t="shared" si="44"/>
        <v>0</v>
      </c>
      <c r="P168" s="6">
        <f t="shared" si="45"/>
        <v>0</v>
      </c>
      <c r="Q168" s="11"/>
    </row>
    <row r="169" spans="1:17" ht="20.25" customHeight="1" x14ac:dyDescent="0.3">
      <c r="A169" s="15" t="s">
        <v>182</v>
      </c>
      <c r="B169" s="1" t="s">
        <v>505</v>
      </c>
      <c r="C169" s="1">
        <v>0</v>
      </c>
      <c r="D169" s="1">
        <v>0</v>
      </c>
      <c r="E169" s="1">
        <v>0</v>
      </c>
      <c r="F169" s="23">
        <v>0</v>
      </c>
      <c r="H169" s="1" t="str">
        <f t="shared" si="39"/>
        <v>保户储金及投资款净增加额(万元)</v>
      </c>
      <c r="I169" s="6">
        <f t="shared" si="40"/>
        <v>0</v>
      </c>
      <c r="J169" s="6">
        <f t="shared" si="41"/>
        <v>0</v>
      </c>
      <c r="K169" s="6">
        <f t="shared" si="42"/>
        <v>0</v>
      </c>
      <c r="M169" s="1" t="str">
        <f t="shared" si="38"/>
        <v>保户储金及投资款净增加额(万元)</v>
      </c>
      <c r="N169" s="6">
        <f t="shared" si="43"/>
        <v>0</v>
      </c>
      <c r="O169" s="6">
        <f t="shared" si="44"/>
        <v>0</v>
      </c>
      <c r="P169" s="6">
        <f t="shared" si="45"/>
        <v>0</v>
      </c>
      <c r="Q169" s="11"/>
    </row>
    <row r="170" spans="1:17" ht="20.25" customHeight="1" x14ac:dyDescent="0.3">
      <c r="A170" s="15" t="s">
        <v>183</v>
      </c>
      <c r="B170" s="1" t="s">
        <v>506</v>
      </c>
      <c r="C170" s="1">
        <v>0</v>
      </c>
      <c r="D170" s="1">
        <v>0</v>
      </c>
      <c r="E170" s="1">
        <v>0</v>
      </c>
      <c r="F170" s="23">
        <v>0</v>
      </c>
      <c r="H170" s="1" t="str">
        <f t="shared" si="39"/>
        <v>处置交易性金融资产净增加额(万元)</v>
      </c>
      <c r="I170" s="6">
        <f t="shared" si="40"/>
        <v>0</v>
      </c>
      <c r="J170" s="6">
        <f t="shared" si="41"/>
        <v>0</v>
      </c>
      <c r="K170" s="6">
        <f t="shared" si="42"/>
        <v>0</v>
      </c>
      <c r="M170" s="1" t="str">
        <f t="shared" si="38"/>
        <v>处置交易性金融资产净增加额(万元)</v>
      </c>
      <c r="N170" s="6">
        <f t="shared" si="43"/>
        <v>0</v>
      </c>
      <c r="O170" s="6">
        <f t="shared" si="44"/>
        <v>0</v>
      </c>
      <c r="P170" s="6">
        <f t="shared" si="45"/>
        <v>0</v>
      </c>
      <c r="Q170" s="11"/>
    </row>
    <row r="171" spans="1:17" ht="20.25" customHeight="1" x14ac:dyDescent="0.3">
      <c r="A171" s="15" t="s">
        <v>184</v>
      </c>
      <c r="B171" s="1" t="s">
        <v>507</v>
      </c>
      <c r="C171" s="1">
        <v>0</v>
      </c>
      <c r="D171" s="1">
        <v>0</v>
      </c>
      <c r="E171" s="1">
        <v>0</v>
      </c>
      <c r="F171" s="23">
        <v>0</v>
      </c>
      <c r="H171" s="1" t="str">
        <f t="shared" si="39"/>
        <v>收取利息、手续费及佣金的现金(万元)</v>
      </c>
      <c r="I171" s="6">
        <f t="shared" si="40"/>
        <v>0</v>
      </c>
      <c r="J171" s="6">
        <f t="shared" si="41"/>
        <v>0</v>
      </c>
      <c r="K171" s="6">
        <f t="shared" si="42"/>
        <v>0</v>
      </c>
      <c r="M171" s="1" t="str">
        <f t="shared" si="38"/>
        <v>收取利息、手续费及佣金的现金(万元)</v>
      </c>
      <c r="N171" s="6">
        <f t="shared" si="43"/>
        <v>0</v>
      </c>
      <c r="O171" s="6">
        <f t="shared" si="44"/>
        <v>0</v>
      </c>
      <c r="P171" s="6">
        <f t="shared" si="45"/>
        <v>0</v>
      </c>
      <c r="Q171" s="11"/>
    </row>
    <row r="172" spans="1:17" ht="20.25" customHeight="1" x14ac:dyDescent="0.3">
      <c r="A172" s="15" t="s">
        <v>185</v>
      </c>
      <c r="B172" s="1" t="s">
        <v>508</v>
      </c>
      <c r="C172" s="1">
        <v>0</v>
      </c>
      <c r="D172" s="1">
        <v>0</v>
      </c>
      <c r="E172" s="1">
        <v>0</v>
      </c>
      <c r="F172" s="23">
        <v>0</v>
      </c>
      <c r="H172" s="1" t="str">
        <f t="shared" si="39"/>
        <v>拆入资金净增加额(万元)</v>
      </c>
      <c r="I172" s="6">
        <f t="shared" si="40"/>
        <v>0</v>
      </c>
      <c r="J172" s="6">
        <f t="shared" si="41"/>
        <v>0</v>
      </c>
      <c r="K172" s="6">
        <f t="shared" si="42"/>
        <v>0</v>
      </c>
      <c r="M172" s="1" t="str">
        <f t="shared" si="38"/>
        <v>拆入资金净增加额(万元)</v>
      </c>
      <c r="N172" s="6">
        <f t="shared" si="43"/>
        <v>0</v>
      </c>
      <c r="O172" s="6">
        <f t="shared" si="44"/>
        <v>0</v>
      </c>
      <c r="P172" s="6">
        <f t="shared" si="45"/>
        <v>0</v>
      </c>
      <c r="Q172" s="11"/>
    </row>
    <row r="173" spans="1:17" ht="20.25" customHeight="1" x14ac:dyDescent="0.3">
      <c r="A173" s="15" t="s">
        <v>186</v>
      </c>
      <c r="B173" s="1" t="s">
        <v>509</v>
      </c>
      <c r="C173" s="1">
        <v>0</v>
      </c>
      <c r="D173" s="1">
        <v>0</v>
      </c>
      <c r="E173" s="1">
        <v>0</v>
      </c>
      <c r="F173" s="23">
        <v>0</v>
      </c>
      <c r="H173" s="1" t="str">
        <f t="shared" si="39"/>
        <v>回购业务资金净增加额(万元)</v>
      </c>
      <c r="I173" s="6">
        <f t="shared" si="40"/>
        <v>0</v>
      </c>
      <c r="J173" s="6">
        <f t="shared" si="41"/>
        <v>0</v>
      </c>
      <c r="K173" s="6">
        <f t="shared" si="42"/>
        <v>0</v>
      </c>
      <c r="M173" s="1" t="str">
        <f t="shared" si="38"/>
        <v>回购业务资金净增加额(万元)</v>
      </c>
      <c r="N173" s="6">
        <f t="shared" si="43"/>
        <v>0</v>
      </c>
      <c r="O173" s="6">
        <f t="shared" si="44"/>
        <v>0</v>
      </c>
      <c r="P173" s="6">
        <f t="shared" si="45"/>
        <v>0</v>
      </c>
      <c r="Q173" s="11"/>
    </row>
    <row r="174" spans="1:17" ht="20.25" customHeight="1" x14ac:dyDescent="0.3">
      <c r="A174" s="15" t="s">
        <v>187</v>
      </c>
      <c r="B174" s="1" t="s">
        <v>510</v>
      </c>
      <c r="C174" s="1">
        <v>240</v>
      </c>
      <c r="D174" s="1">
        <v>2</v>
      </c>
      <c r="E174" s="1">
        <v>2</v>
      </c>
      <c r="F174" s="23">
        <v>14</v>
      </c>
      <c r="H174" s="1" t="str">
        <f t="shared" si="39"/>
        <v>收到的税费返还(万元)</v>
      </c>
      <c r="I174" s="6">
        <f t="shared" si="40"/>
        <v>-1.4038371548900327E-2</v>
      </c>
      <c r="J174" s="6">
        <f t="shared" si="41"/>
        <v>2.5733401955738551E-4</v>
      </c>
      <c r="K174" s="6">
        <f t="shared" si="42"/>
        <v>-4.3421623968736432E-4</v>
      </c>
      <c r="M174" s="1" t="str">
        <f t="shared" si="38"/>
        <v>收到的税费返还(万元)</v>
      </c>
      <c r="N174" s="6">
        <f t="shared" si="43"/>
        <v>1.5784639787785961</v>
      </c>
      <c r="O174" s="6">
        <f t="shared" si="44"/>
        <v>119</v>
      </c>
      <c r="P174" s="6">
        <f t="shared" si="45"/>
        <v>0</v>
      </c>
      <c r="Q174" s="11"/>
    </row>
    <row r="175" spans="1:17" ht="20.25" customHeight="1" x14ac:dyDescent="0.3">
      <c r="A175" s="15" t="s">
        <v>188</v>
      </c>
      <c r="B175" s="1" t="s">
        <v>511</v>
      </c>
      <c r="C175" s="1">
        <v>2773</v>
      </c>
      <c r="D175" s="1">
        <v>3469</v>
      </c>
      <c r="E175" s="1">
        <v>2728</v>
      </c>
      <c r="F175" s="23">
        <v>4875</v>
      </c>
      <c r="H175" s="1" t="str">
        <f t="shared" si="39"/>
        <v>收到的其他与经营活动有关的现金(万元)</v>
      </c>
      <c r="I175" s="6">
        <f t="shared" si="40"/>
        <v>-0.16220168460458587</v>
      </c>
      <c r="J175" s="6">
        <f t="shared" si="41"/>
        <v>0.44634585692228512</v>
      </c>
      <c r="K175" s="6">
        <f t="shared" si="42"/>
        <v>-0.59227095093356497</v>
      </c>
      <c r="M175" s="1" t="str">
        <f t="shared" si="38"/>
        <v>收到的其他与经营活动有关的现金(万元)</v>
      </c>
      <c r="N175" s="6">
        <f t="shared" si="43"/>
        <v>-0.17143786333754729</v>
      </c>
      <c r="O175" s="6">
        <f t="shared" si="44"/>
        <v>-0.20063418852695303</v>
      </c>
      <c r="P175" s="6">
        <f t="shared" si="45"/>
        <v>0.27162756598240478</v>
      </c>
      <c r="Q175" s="11"/>
    </row>
    <row r="176" spans="1:17" ht="20.25" customHeight="1" x14ac:dyDescent="0.3">
      <c r="A176" s="12" t="s">
        <v>189</v>
      </c>
      <c r="B176" s="1" t="s">
        <v>512</v>
      </c>
      <c r="C176" s="1">
        <v>130841</v>
      </c>
      <c r="D176" s="1">
        <v>116057</v>
      </c>
      <c r="E176" s="1">
        <v>100124</v>
      </c>
      <c r="F176" s="23">
        <v>104887</v>
      </c>
      <c r="H176" s="1" t="str">
        <f t="shared" si="39"/>
        <v>经营活动现金流入小计(万元)</v>
      </c>
      <c r="I176" s="6">
        <f t="shared" si="40"/>
        <v>-7.6533107159569491</v>
      </c>
      <c r="J176" s="6">
        <f t="shared" si="41"/>
        <v>14.932707153885744</v>
      </c>
      <c r="K176" s="6">
        <f t="shared" si="42"/>
        <v>-21.737733391228833</v>
      </c>
      <c r="M176" s="1" t="str">
        <f t="shared" si="38"/>
        <v>经营活动现金流入小计(万元)</v>
      </c>
      <c r="N176" s="6">
        <f t="shared" si="43"/>
        <v>7.6483548307860527E-2</v>
      </c>
      <c r="O176" s="6">
        <f t="shared" si="44"/>
        <v>0.12738568117390603</v>
      </c>
      <c r="P176" s="6">
        <f t="shared" si="45"/>
        <v>0.15913267548240184</v>
      </c>
      <c r="Q176" s="11"/>
    </row>
    <row r="177" spans="1:17" ht="20.25" customHeight="1" x14ac:dyDescent="0.3">
      <c r="A177" s="12" t="s">
        <v>190</v>
      </c>
      <c r="B177" s="1" t="s">
        <v>513</v>
      </c>
      <c r="C177" s="1">
        <v>78377</v>
      </c>
      <c r="D177" s="1">
        <v>49407</v>
      </c>
      <c r="E177" s="1">
        <v>55999</v>
      </c>
      <c r="F177" s="23">
        <v>54363</v>
      </c>
      <c r="H177" s="1" t="str">
        <f t="shared" si="39"/>
        <v>购买商品、接受劳务支付的现金(万元)</v>
      </c>
      <c r="I177" s="6">
        <f t="shared" si="40"/>
        <v>-4.5845226953673377</v>
      </c>
      <c r="J177" s="6">
        <f t="shared" si="41"/>
        <v>6.3570509521358725</v>
      </c>
      <c r="K177" s="6">
        <f t="shared" si="42"/>
        <v>-12.157837603126357</v>
      </c>
      <c r="M177" s="1" t="str">
        <f t="shared" si="38"/>
        <v>购买商品、接受劳务支付的现金(万元)</v>
      </c>
      <c r="N177" s="6">
        <f t="shared" si="43"/>
        <v>0.12969638847478548</v>
      </c>
      <c r="O177" s="6">
        <f t="shared" si="44"/>
        <v>0.586354160341652</v>
      </c>
      <c r="P177" s="6">
        <f t="shared" si="45"/>
        <v>-0.11771638779263915</v>
      </c>
      <c r="Q177" s="11"/>
    </row>
    <row r="178" spans="1:17" ht="20.25" customHeight="1" x14ac:dyDescent="0.3">
      <c r="A178" s="12" t="s">
        <v>191</v>
      </c>
      <c r="B178" s="1" t="s">
        <v>514</v>
      </c>
      <c r="C178" s="1">
        <v>0</v>
      </c>
      <c r="D178" s="1">
        <v>0</v>
      </c>
      <c r="E178" s="1">
        <v>0</v>
      </c>
      <c r="F178" s="23">
        <v>0</v>
      </c>
      <c r="H178" s="1" t="str">
        <f t="shared" si="39"/>
        <v>客户贷款及垫款净增加额(万元)</v>
      </c>
      <c r="I178" s="6">
        <f t="shared" si="40"/>
        <v>0</v>
      </c>
      <c r="J178" s="6">
        <f t="shared" si="41"/>
        <v>0</v>
      </c>
      <c r="K178" s="6">
        <f t="shared" si="42"/>
        <v>0</v>
      </c>
      <c r="M178" s="1" t="str">
        <f t="shared" si="38"/>
        <v>客户贷款及垫款净增加额(万元)</v>
      </c>
      <c r="N178" s="6">
        <f t="shared" si="43"/>
        <v>0</v>
      </c>
      <c r="O178" s="6">
        <f t="shared" si="44"/>
        <v>0</v>
      </c>
      <c r="P178" s="6">
        <f t="shared" si="45"/>
        <v>0</v>
      </c>
      <c r="Q178" s="11"/>
    </row>
    <row r="179" spans="1:17" ht="20.25" customHeight="1" x14ac:dyDescent="0.3">
      <c r="A179" s="15" t="s">
        <v>192</v>
      </c>
      <c r="B179" s="1" t="s">
        <v>515</v>
      </c>
      <c r="C179" s="1">
        <v>0</v>
      </c>
      <c r="D179" s="1">
        <v>0</v>
      </c>
      <c r="E179" s="1">
        <v>0</v>
      </c>
      <c r="F179" s="23">
        <v>0</v>
      </c>
      <c r="H179" s="1" t="str">
        <f t="shared" si="39"/>
        <v>存放中央银行和同业款项净增加额(万元)</v>
      </c>
      <c r="I179" s="6">
        <f t="shared" si="40"/>
        <v>0</v>
      </c>
      <c r="J179" s="6">
        <f t="shared" si="41"/>
        <v>0</v>
      </c>
      <c r="K179" s="6">
        <f t="shared" si="42"/>
        <v>0</v>
      </c>
      <c r="M179" s="1" t="str">
        <f t="shared" si="38"/>
        <v>存放中央银行和同业款项净增加额(万元)</v>
      </c>
      <c r="N179" s="6">
        <f t="shared" si="43"/>
        <v>0</v>
      </c>
      <c r="O179" s="6">
        <f t="shared" si="44"/>
        <v>0</v>
      </c>
      <c r="P179" s="6">
        <f t="shared" si="45"/>
        <v>0</v>
      </c>
      <c r="Q179" s="11"/>
    </row>
    <row r="180" spans="1:17" ht="20.25" customHeight="1" x14ac:dyDescent="0.3">
      <c r="A180" s="15" t="s">
        <v>193</v>
      </c>
      <c r="B180" s="1" t="s">
        <v>516</v>
      </c>
      <c r="C180" s="1">
        <v>0</v>
      </c>
      <c r="D180" s="1">
        <v>0</v>
      </c>
      <c r="E180" s="1">
        <v>0</v>
      </c>
      <c r="F180" s="23">
        <v>0</v>
      </c>
      <c r="H180" s="1" t="str">
        <f t="shared" si="39"/>
        <v>支付原保险合同赔付款项的现金(万元)</v>
      </c>
      <c r="I180" s="6">
        <f t="shared" si="40"/>
        <v>0</v>
      </c>
      <c r="J180" s="6">
        <f t="shared" si="41"/>
        <v>0</v>
      </c>
      <c r="K180" s="6">
        <f t="shared" si="42"/>
        <v>0</v>
      </c>
      <c r="M180" s="1" t="str">
        <f t="shared" si="38"/>
        <v>支付原保险合同赔付款项的现金(万元)</v>
      </c>
      <c r="N180" s="6">
        <f t="shared" si="43"/>
        <v>0</v>
      </c>
      <c r="O180" s="6">
        <f t="shared" si="44"/>
        <v>0</v>
      </c>
      <c r="P180" s="6">
        <f t="shared" si="45"/>
        <v>0</v>
      </c>
      <c r="Q180" s="11"/>
    </row>
    <row r="181" spans="1:17" ht="20.25" customHeight="1" x14ac:dyDescent="0.3">
      <c r="A181" s="15" t="s">
        <v>194</v>
      </c>
      <c r="B181" s="1" t="s">
        <v>517</v>
      </c>
      <c r="C181" s="1">
        <v>0</v>
      </c>
      <c r="D181" s="1">
        <v>0</v>
      </c>
      <c r="E181" s="1">
        <v>0</v>
      </c>
      <c r="F181" s="23">
        <v>0</v>
      </c>
      <c r="H181" s="1" t="str">
        <f t="shared" si="39"/>
        <v>支付利息、手续费及佣金的现金(万元)</v>
      </c>
      <c r="I181" s="6">
        <f t="shared" si="40"/>
        <v>0</v>
      </c>
      <c r="J181" s="6">
        <f t="shared" si="41"/>
        <v>0</v>
      </c>
      <c r="K181" s="6">
        <f t="shared" si="42"/>
        <v>0</v>
      </c>
      <c r="M181" s="1" t="str">
        <f t="shared" si="38"/>
        <v>支付利息、手续费及佣金的现金(万元)</v>
      </c>
      <c r="N181" s="6">
        <f t="shared" si="43"/>
        <v>0</v>
      </c>
      <c r="O181" s="6">
        <f t="shared" si="44"/>
        <v>0</v>
      </c>
      <c r="P181" s="6">
        <f t="shared" si="45"/>
        <v>0</v>
      </c>
      <c r="Q181" s="11"/>
    </row>
    <row r="182" spans="1:17" ht="20.25" customHeight="1" x14ac:dyDescent="0.3">
      <c r="A182" s="15" t="s">
        <v>195</v>
      </c>
      <c r="B182" s="1" t="s">
        <v>518</v>
      </c>
      <c r="C182" s="1">
        <v>0</v>
      </c>
      <c r="D182" s="1">
        <v>0</v>
      </c>
      <c r="E182" s="1">
        <v>0</v>
      </c>
      <c r="F182" s="23">
        <v>0</v>
      </c>
      <c r="H182" s="1" t="str">
        <f t="shared" si="39"/>
        <v>支付保单红利的现金(万元)</v>
      </c>
      <c r="I182" s="6">
        <f t="shared" si="40"/>
        <v>0</v>
      </c>
      <c r="J182" s="6">
        <f t="shared" si="41"/>
        <v>0</v>
      </c>
      <c r="K182" s="6">
        <f t="shared" si="42"/>
        <v>0</v>
      </c>
      <c r="M182" s="1" t="str">
        <f t="shared" si="38"/>
        <v>支付保单红利的现金(万元)</v>
      </c>
      <c r="N182" s="6">
        <f t="shared" si="43"/>
        <v>0</v>
      </c>
      <c r="O182" s="6">
        <f t="shared" si="44"/>
        <v>0</v>
      </c>
      <c r="P182" s="6">
        <f t="shared" si="45"/>
        <v>0</v>
      </c>
      <c r="Q182" s="11"/>
    </row>
    <row r="183" spans="1:17" ht="20.25" customHeight="1" x14ac:dyDescent="0.3">
      <c r="A183" s="15" t="s">
        <v>196</v>
      </c>
      <c r="B183" s="1" t="s">
        <v>519</v>
      </c>
      <c r="C183" s="1">
        <v>18518</v>
      </c>
      <c r="D183" s="1">
        <v>16167</v>
      </c>
      <c r="E183" s="1">
        <v>14524</v>
      </c>
      <c r="F183" s="23">
        <v>12648</v>
      </c>
      <c r="H183" s="1" t="str">
        <f t="shared" si="39"/>
        <v>支付给职工以及为职工支付的现金(万元)</v>
      </c>
      <c r="I183" s="6">
        <f t="shared" si="40"/>
        <v>-1.0831773514272345</v>
      </c>
      <c r="J183" s="6">
        <f t="shared" si="41"/>
        <v>2.0801595470921255</v>
      </c>
      <c r="K183" s="6">
        <f t="shared" si="42"/>
        <v>-3.1532783326096396</v>
      </c>
      <c r="M183" s="1" t="str">
        <f t="shared" si="38"/>
        <v>支付给职工以及为职工支付的现金(万元)</v>
      </c>
      <c r="N183" s="6">
        <f t="shared" si="43"/>
        <v>0.13550941879515843</v>
      </c>
      <c r="O183" s="6">
        <f t="shared" si="44"/>
        <v>0.14541968206841105</v>
      </c>
      <c r="P183" s="6">
        <f t="shared" si="45"/>
        <v>0.1131231065822087</v>
      </c>
      <c r="Q183" s="11"/>
    </row>
    <row r="184" spans="1:17" ht="20.25" customHeight="1" x14ac:dyDescent="0.3">
      <c r="A184" s="15" t="s">
        <v>197</v>
      </c>
      <c r="B184" s="1" t="s">
        <v>520</v>
      </c>
      <c r="C184" s="1">
        <v>21899</v>
      </c>
      <c r="D184" s="1">
        <v>21925</v>
      </c>
      <c r="E184" s="1">
        <v>17920</v>
      </c>
      <c r="F184" s="23">
        <v>18038</v>
      </c>
      <c r="H184" s="1" t="str">
        <f t="shared" si="39"/>
        <v>支付的各项税费(万元)</v>
      </c>
      <c r="I184" s="6">
        <f t="shared" si="40"/>
        <v>-1.2809429106223678</v>
      </c>
      <c r="J184" s="6">
        <f t="shared" si="41"/>
        <v>2.8210241893978383</v>
      </c>
      <c r="K184" s="6">
        <f t="shared" si="42"/>
        <v>-3.8905775075987843</v>
      </c>
      <c r="M184" s="1" t="str">
        <f t="shared" si="38"/>
        <v>支付的各项税费(万元)</v>
      </c>
      <c r="N184" s="6">
        <f t="shared" si="43"/>
        <v>6.678925736342789E-2</v>
      </c>
      <c r="O184" s="6">
        <f t="shared" si="44"/>
        <v>-1.1858608893956513E-3</v>
      </c>
      <c r="P184" s="6">
        <f t="shared" si="45"/>
        <v>0.2234933035714286</v>
      </c>
      <c r="Q184" s="11"/>
    </row>
    <row r="185" spans="1:17" ht="20.25" customHeight="1" x14ac:dyDescent="0.3">
      <c r="A185" s="15" t="s">
        <v>198</v>
      </c>
      <c r="B185" s="1" t="s">
        <v>521</v>
      </c>
      <c r="C185" s="1">
        <v>29143</v>
      </c>
      <c r="D185" s="1">
        <v>20786</v>
      </c>
      <c r="E185" s="1">
        <v>16287</v>
      </c>
      <c r="F185" s="23">
        <v>13008</v>
      </c>
      <c r="H185" s="1" t="str">
        <f t="shared" si="39"/>
        <v>支付的其他与经营活动有关的现金(万元)</v>
      </c>
      <c r="I185" s="6">
        <f t="shared" si="40"/>
        <v>-1.7046677585400094</v>
      </c>
      <c r="J185" s="6">
        <f t="shared" si="41"/>
        <v>2.6744724652599072</v>
      </c>
      <c r="K185" s="6">
        <f t="shared" si="42"/>
        <v>-3.5360399478940514</v>
      </c>
      <c r="M185" s="1" t="str">
        <f t="shared" si="38"/>
        <v>支付的其他与经营活动有关的现金(万元)</v>
      </c>
      <c r="N185" s="6">
        <f t="shared" si="43"/>
        <v>0.3085025581060552</v>
      </c>
      <c r="O185" s="6">
        <f t="shared" si="44"/>
        <v>0.40204945636486089</v>
      </c>
      <c r="P185" s="6">
        <f t="shared" si="45"/>
        <v>0.27623257812979674</v>
      </c>
      <c r="Q185" s="11"/>
    </row>
    <row r="186" spans="1:17" ht="20.25" customHeight="1" x14ac:dyDescent="0.3">
      <c r="A186" s="12" t="s">
        <v>199</v>
      </c>
      <c r="B186" s="1" t="s">
        <v>522</v>
      </c>
      <c r="C186" s="1">
        <v>147938</v>
      </c>
      <c r="D186" s="1">
        <v>108285</v>
      </c>
      <c r="E186" s="1">
        <v>104730</v>
      </c>
      <c r="F186" s="23">
        <v>98058</v>
      </c>
      <c r="H186" s="1" t="str">
        <f t="shared" si="39"/>
        <v>经营活动现金流出小计(万元)</v>
      </c>
      <c r="I186" s="6">
        <f t="shared" si="40"/>
        <v>-8.6533692091717356</v>
      </c>
      <c r="J186" s="6">
        <f t="shared" si="41"/>
        <v>13.932707153885744</v>
      </c>
      <c r="K186" s="6">
        <f t="shared" si="42"/>
        <v>-22.737733391228833</v>
      </c>
      <c r="M186" s="1" t="str">
        <f t="shared" si="38"/>
        <v>经营活动现金流出小计(万元)</v>
      </c>
      <c r="N186" s="6">
        <f t="shared" si="43"/>
        <v>0.14691765305632742</v>
      </c>
      <c r="O186" s="6">
        <f t="shared" si="44"/>
        <v>0.36619106986193839</v>
      </c>
      <c r="P186" s="6">
        <f t="shared" si="45"/>
        <v>3.3944428530507054E-2</v>
      </c>
      <c r="Q186" s="11"/>
    </row>
    <row r="187" spans="1:17" ht="20.25" customHeight="1" x14ac:dyDescent="0.3">
      <c r="A187" s="12" t="s">
        <v>209</v>
      </c>
      <c r="B187" s="1" t="s">
        <v>523</v>
      </c>
      <c r="C187" s="1">
        <v>-17096</v>
      </c>
      <c r="D187" s="1">
        <v>7772</v>
      </c>
      <c r="E187" s="1">
        <v>-4606</v>
      </c>
      <c r="F187" s="23">
        <v>6829</v>
      </c>
      <c r="H187" s="1" t="str">
        <f t="shared" si="39"/>
        <v>经营活动产生的现金流量净额(万元)</v>
      </c>
      <c r="I187" s="6">
        <f t="shared" si="40"/>
        <v>1</v>
      </c>
      <c r="J187" s="6">
        <f t="shared" si="41"/>
        <v>1</v>
      </c>
      <c r="K187" s="6">
        <f t="shared" si="42"/>
        <v>1</v>
      </c>
      <c r="M187" s="1" t="str">
        <f t="shared" si="38"/>
        <v>经营活动产生的现金流量净额(万元)</v>
      </c>
      <c r="N187" s="6">
        <f t="shared" si="43"/>
        <v>-2.3578312475836927</v>
      </c>
      <c r="O187" s="6">
        <f t="shared" si="44"/>
        <v>-3.1996911991765313</v>
      </c>
      <c r="P187" s="6">
        <f t="shared" si="45"/>
        <v>-2.6873643074250975</v>
      </c>
      <c r="Q187" s="11"/>
    </row>
    <row r="188" spans="1:17" ht="20.25" customHeight="1" x14ac:dyDescent="0.3">
      <c r="A188" s="12" t="s">
        <v>200</v>
      </c>
      <c r="B188" s="1" t="s">
        <v>524</v>
      </c>
      <c r="C188" s="1">
        <v>22000</v>
      </c>
      <c r="D188" s="1">
        <v>20000</v>
      </c>
      <c r="E188" s="1">
        <v>29000</v>
      </c>
      <c r="F188" s="23">
        <v>14000</v>
      </c>
      <c r="H188" s="1" t="str">
        <f t="shared" si="39"/>
        <v>收回投资所收到的现金(万元)</v>
      </c>
      <c r="I188" s="6">
        <f t="shared" si="40"/>
        <v>-1.2868507253158634</v>
      </c>
      <c r="J188" s="6">
        <f t="shared" si="41"/>
        <v>2.5733401955738548</v>
      </c>
      <c r="K188" s="6">
        <f t="shared" si="42"/>
        <v>-6.2961354754667829</v>
      </c>
      <c r="M188" s="1" t="str">
        <f t="shared" si="38"/>
        <v>收回投资所收到的现金(万元)</v>
      </c>
      <c r="N188" s="6">
        <f t="shared" si="43"/>
        <v>0.16260329205681456</v>
      </c>
      <c r="O188" s="6">
        <f t="shared" si="44"/>
        <v>0.10000000000000009</v>
      </c>
      <c r="P188" s="6">
        <f t="shared" si="45"/>
        <v>-0.31034482758620685</v>
      </c>
      <c r="Q188" s="11"/>
    </row>
    <row r="189" spans="1:17" ht="20.25" customHeight="1" x14ac:dyDescent="0.3">
      <c r="A189" s="12" t="s">
        <v>166</v>
      </c>
      <c r="B189" s="1" t="s">
        <v>525</v>
      </c>
      <c r="C189" s="1">
        <v>3332</v>
      </c>
      <c r="D189" s="1">
        <v>792</v>
      </c>
      <c r="E189" s="1">
        <v>953</v>
      </c>
      <c r="F189" s="23">
        <v>857</v>
      </c>
      <c r="H189" s="1" t="str">
        <f t="shared" si="39"/>
        <v>取得投资收益所收到的现金(万元)</v>
      </c>
      <c r="I189" s="6">
        <f t="shared" si="40"/>
        <v>-0.19489939167056622</v>
      </c>
      <c r="J189" s="6">
        <f t="shared" si="41"/>
        <v>0.10190427174472465</v>
      </c>
      <c r="K189" s="6">
        <f t="shared" si="42"/>
        <v>-0.2069040382110291</v>
      </c>
      <c r="M189" s="1" t="str">
        <f t="shared" si="38"/>
        <v>取得投资收益所收到的现金(万元)</v>
      </c>
      <c r="N189" s="6">
        <f t="shared" si="43"/>
        <v>0.57244231961488934</v>
      </c>
      <c r="O189" s="6">
        <f t="shared" si="44"/>
        <v>3.2070707070707067</v>
      </c>
      <c r="P189" s="6">
        <f t="shared" si="45"/>
        <v>-0.16894018887722984</v>
      </c>
      <c r="Q189" s="11"/>
    </row>
    <row r="190" spans="1:17" ht="20.25" customHeight="1" x14ac:dyDescent="0.3">
      <c r="A190" s="15" t="s">
        <v>167</v>
      </c>
      <c r="B190" s="1" t="s">
        <v>526</v>
      </c>
      <c r="C190" s="1">
        <v>0</v>
      </c>
      <c r="D190" s="1">
        <v>7</v>
      </c>
      <c r="E190" s="1">
        <v>12</v>
      </c>
      <c r="F190" s="23">
        <v>23</v>
      </c>
      <c r="H190" s="1" t="str">
        <f t="shared" si="39"/>
        <v>处置固定资产、无形资产和其他长期资产所收回的现金净额(万元)</v>
      </c>
      <c r="I190" s="6">
        <f t="shared" si="40"/>
        <v>0</v>
      </c>
      <c r="J190" s="6">
        <f t="shared" si="41"/>
        <v>9.0066906845084926E-4</v>
      </c>
      <c r="K190" s="6">
        <f t="shared" si="42"/>
        <v>-2.6052974381241857E-3</v>
      </c>
      <c r="M190" s="1" t="str">
        <f t="shared" si="38"/>
        <v>处置固定资产、无形资产和其他长期资产所收回的现金净额(万元)</v>
      </c>
      <c r="N190" s="6">
        <f t="shared" si="43"/>
        <v>-1</v>
      </c>
      <c r="O190" s="6">
        <f t="shared" si="44"/>
        <v>-1</v>
      </c>
      <c r="P190" s="6">
        <f t="shared" si="45"/>
        <v>-0.41666666666666663</v>
      </c>
      <c r="Q190" s="11"/>
    </row>
    <row r="191" spans="1:17" ht="20.25" customHeight="1" x14ac:dyDescent="0.3">
      <c r="A191" s="15" t="s">
        <v>168</v>
      </c>
      <c r="B191" s="1" t="s">
        <v>527</v>
      </c>
      <c r="C191" s="1">
        <v>0</v>
      </c>
      <c r="D191" s="1">
        <v>0</v>
      </c>
      <c r="E191" s="1">
        <v>0</v>
      </c>
      <c r="F191" s="23">
        <v>0</v>
      </c>
      <c r="H191" s="1" t="str">
        <f t="shared" si="39"/>
        <v>处置子公司及其他营业单位收到的现金净额(万元)</v>
      </c>
      <c r="I191" s="6">
        <f t="shared" si="40"/>
        <v>0</v>
      </c>
      <c r="J191" s="6">
        <f t="shared" si="41"/>
        <v>0</v>
      </c>
      <c r="K191" s="6">
        <f t="shared" si="42"/>
        <v>0</v>
      </c>
      <c r="M191" s="1" t="str">
        <f t="shared" si="38"/>
        <v>处置子公司及其他营业单位收到的现金净额(万元)</v>
      </c>
      <c r="N191" s="6">
        <f t="shared" si="43"/>
        <v>0</v>
      </c>
      <c r="O191" s="6">
        <f t="shared" si="44"/>
        <v>0</v>
      </c>
      <c r="P191" s="6">
        <f t="shared" si="45"/>
        <v>0</v>
      </c>
      <c r="Q191" s="11"/>
    </row>
    <row r="192" spans="1:17" ht="20.25" customHeight="1" x14ac:dyDescent="0.3">
      <c r="A192" s="15" t="s">
        <v>169</v>
      </c>
      <c r="B192" s="1" t="s">
        <v>528</v>
      </c>
      <c r="C192" s="1">
        <v>0</v>
      </c>
      <c r="D192" s="1">
        <v>0</v>
      </c>
      <c r="E192" s="1">
        <v>0</v>
      </c>
      <c r="F192" s="23">
        <v>0</v>
      </c>
      <c r="H192" s="1" t="str">
        <f t="shared" si="39"/>
        <v>收到的其他与投资活动有关的现金(万元)</v>
      </c>
      <c r="I192" s="6">
        <f t="shared" si="40"/>
        <v>0</v>
      </c>
      <c r="J192" s="6">
        <f t="shared" si="41"/>
        <v>0</v>
      </c>
      <c r="K192" s="6">
        <f t="shared" si="42"/>
        <v>0</v>
      </c>
      <c r="M192" s="1" t="str">
        <f t="shared" si="38"/>
        <v>收到的其他与投资活动有关的现金(万元)</v>
      </c>
      <c r="N192" s="6">
        <f t="shared" si="43"/>
        <v>0</v>
      </c>
      <c r="O192" s="6">
        <f t="shared" si="44"/>
        <v>0</v>
      </c>
      <c r="P192" s="6">
        <f t="shared" si="45"/>
        <v>0</v>
      </c>
      <c r="Q192" s="11"/>
    </row>
    <row r="193" spans="1:17" ht="20.25" customHeight="1" x14ac:dyDescent="0.3">
      <c r="A193" s="15" t="s">
        <v>170</v>
      </c>
      <c r="B193" s="1" t="s">
        <v>529</v>
      </c>
      <c r="C193" s="1">
        <v>0</v>
      </c>
      <c r="D193" s="1">
        <v>0</v>
      </c>
      <c r="E193" s="1">
        <v>0</v>
      </c>
      <c r="F193" s="23">
        <v>0</v>
      </c>
      <c r="H193" s="1" t="str">
        <f t="shared" si="39"/>
        <v>减少质押和定期存款所收到的现金(万元)</v>
      </c>
      <c r="I193" s="6">
        <f t="shared" si="40"/>
        <v>0</v>
      </c>
      <c r="J193" s="6">
        <f t="shared" si="41"/>
        <v>0</v>
      </c>
      <c r="K193" s="6">
        <f t="shared" si="42"/>
        <v>0</v>
      </c>
      <c r="M193" s="1" t="str">
        <f t="shared" si="38"/>
        <v>减少质押和定期存款所收到的现金(万元)</v>
      </c>
      <c r="N193" s="6">
        <f t="shared" si="43"/>
        <v>0</v>
      </c>
      <c r="O193" s="6">
        <f t="shared" si="44"/>
        <v>0</v>
      </c>
      <c r="P193" s="6">
        <f t="shared" si="45"/>
        <v>0</v>
      </c>
      <c r="Q193" s="11"/>
    </row>
    <row r="194" spans="1:17" ht="20.25" customHeight="1" x14ac:dyDescent="0.3">
      <c r="A194" s="12" t="s">
        <v>171</v>
      </c>
      <c r="B194" s="1" t="s">
        <v>530</v>
      </c>
      <c r="C194" s="1">
        <v>25332</v>
      </c>
      <c r="D194" s="1">
        <v>20799</v>
      </c>
      <c r="E194" s="1">
        <v>29965</v>
      </c>
      <c r="F194" s="23">
        <v>14880</v>
      </c>
      <c r="H194" s="1" t="str">
        <f t="shared" ref="H194:H225" si="46">B194</f>
        <v>投资活动现金流入小计(万元)</v>
      </c>
      <c r="I194" s="6">
        <f t="shared" si="40"/>
        <v>-1.4817501169864296</v>
      </c>
      <c r="J194" s="6">
        <f t="shared" si="41"/>
        <v>2.6761451363870306</v>
      </c>
      <c r="K194" s="6">
        <f t="shared" si="42"/>
        <v>-6.5056448111159355</v>
      </c>
      <c r="M194" s="1" t="str">
        <f t="shared" ref="M194:M225" si="47">B194</f>
        <v>投资活动现金流入小计(万元)</v>
      </c>
      <c r="N194" s="6">
        <f t="shared" si="43"/>
        <v>0.19404909205572429</v>
      </c>
      <c r="O194" s="6">
        <f t="shared" si="44"/>
        <v>0.2179431703447281</v>
      </c>
      <c r="P194" s="6">
        <f t="shared" si="45"/>
        <v>-0.30589020523944599</v>
      </c>
      <c r="Q194" s="11"/>
    </row>
    <row r="195" spans="1:17" ht="20.25" customHeight="1" x14ac:dyDescent="0.3">
      <c r="A195" s="12" t="s">
        <v>172</v>
      </c>
      <c r="B195" s="1" t="s">
        <v>531</v>
      </c>
      <c r="C195" s="1">
        <v>13828</v>
      </c>
      <c r="D195" s="1">
        <v>6321</v>
      </c>
      <c r="E195" s="1">
        <v>6151</v>
      </c>
      <c r="F195" s="23">
        <v>7218</v>
      </c>
      <c r="H195" s="1" t="str">
        <f t="shared" si="46"/>
        <v>购建固定资产、无形资产和其他长期资产所支付的现金(万元)</v>
      </c>
      <c r="I195" s="6">
        <f t="shared" ref="I195:I226" si="48">C195/C$187</f>
        <v>-0.80884417407580722</v>
      </c>
      <c r="J195" s="6">
        <f t="shared" ref="J195:J226" si="49">D195/D$187</f>
        <v>0.81330416881111678</v>
      </c>
      <c r="K195" s="6">
        <f t="shared" ref="K195:K226" si="50">E195/E$187</f>
        <v>-1.3354320451584889</v>
      </c>
      <c r="M195" s="1" t="str">
        <f t="shared" si="47"/>
        <v>购建固定资产、无形资产和其他长期资产所支付的现金(万元)</v>
      </c>
      <c r="N195" s="6">
        <f t="shared" si="43"/>
        <v>0.24197874761806815</v>
      </c>
      <c r="O195" s="6">
        <f t="shared" si="44"/>
        <v>1.1876285397880082</v>
      </c>
      <c r="P195" s="6">
        <f t="shared" si="45"/>
        <v>2.7637782474394301E-2</v>
      </c>
      <c r="Q195" s="11"/>
    </row>
    <row r="196" spans="1:17" ht="20.25" customHeight="1" x14ac:dyDescent="0.3">
      <c r="A196" s="12" t="s">
        <v>201</v>
      </c>
      <c r="B196" s="1" t="s">
        <v>532</v>
      </c>
      <c r="C196" s="1">
        <v>30350</v>
      </c>
      <c r="D196" s="1">
        <v>55050</v>
      </c>
      <c r="E196" s="1">
        <v>57450</v>
      </c>
      <c r="F196" s="23">
        <v>21000</v>
      </c>
      <c r="H196" s="1" t="str">
        <f t="shared" si="46"/>
        <v>投资所支付的现金(万元)</v>
      </c>
      <c r="I196" s="6">
        <f t="shared" si="48"/>
        <v>-1.7752690687880206</v>
      </c>
      <c r="J196" s="6">
        <f t="shared" si="49"/>
        <v>7.0831188883170357</v>
      </c>
      <c r="K196" s="6">
        <f t="shared" si="50"/>
        <v>-12.472861485019539</v>
      </c>
      <c r="M196" s="1" t="str">
        <f t="shared" si="47"/>
        <v>投资所支付的现金(万元)</v>
      </c>
      <c r="N196" s="6">
        <f t="shared" si="43"/>
        <v>0.13061081009700182</v>
      </c>
      <c r="O196" s="6">
        <f t="shared" si="44"/>
        <v>-0.44868301544050859</v>
      </c>
      <c r="P196" s="6">
        <f t="shared" si="45"/>
        <v>-4.1775456919060039E-2</v>
      </c>
      <c r="Q196" s="11"/>
    </row>
    <row r="197" spans="1:17" ht="20.25" customHeight="1" x14ac:dyDescent="0.3">
      <c r="A197" s="15" t="s">
        <v>173</v>
      </c>
      <c r="B197" s="1" t="s">
        <v>533</v>
      </c>
      <c r="C197" s="1">
        <v>0</v>
      </c>
      <c r="D197" s="1">
        <v>0</v>
      </c>
      <c r="E197" s="1">
        <v>0</v>
      </c>
      <c r="F197" s="23">
        <v>0</v>
      </c>
      <c r="H197" s="1" t="str">
        <f t="shared" si="46"/>
        <v>质押贷款净增加额(万元)</v>
      </c>
      <c r="I197" s="6">
        <f t="shared" si="48"/>
        <v>0</v>
      </c>
      <c r="J197" s="6">
        <f t="shared" si="49"/>
        <v>0</v>
      </c>
      <c r="K197" s="6">
        <f t="shared" si="50"/>
        <v>0</v>
      </c>
      <c r="M197" s="1" t="str">
        <f t="shared" si="47"/>
        <v>质押贷款净增加额(万元)</v>
      </c>
      <c r="N197" s="6">
        <f t="shared" si="43"/>
        <v>0</v>
      </c>
      <c r="O197" s="6">
        <f t="shared" si="44"/>
        <v>0</v>
      </c>
      <c r="P197" s="6">
        <f t="shared" si="45"/>
        <v>0</v>
      </c>
      <c r="Q197" s="11"/>
    </row>
    <row r="198" spans="1:17" ht="20.25" customHeight="1" x14ac:dyDescent="0.3">
      <c r="A198" s="15" t="s">
        <v>174</v>
      </c>
      <c r="B198" s="1" t="s">
        <v>534</v>
      </c>
      <c r="C198" s="1">
        <v>0</v>
      </c>
      <c r="D198" s="1">
        <v>0</v>
      </c>
      <c r="E198" s="1">
        <v>0</v>
      </c>
      <c r="F198" s="23">
        <v>0</v>
      </c>
      <c r="H198" s="1" t="str">
        <f t="shared" si="46"/>
        <v>取得子公司及其他营业单位支付的现金净额(万元)</v>
      </c>
      <c r="I198" s="6">
        <f t="shared" si="48"/>
        <v>0</v>
      </c>
      <c r="J198" s="6">
        <f t="shared" si="49"/>
        <v>0</v>
      </c>
      <c r="K198" s="6">
        <f t="shared" si="50"/>
        <v>0</v>
      </c>
      <c r="M198" s="1" t="str">
        <f t="shared" si="47"/>
        <v>取得子公司及其他营业单位支付的现金净额(万元)</v>
      </c>
      <c r="N198" s="6">
        <f t="shared" si="43"/>
        <v>0</v>
      </c>
      <c r="O198" s="6">
        <f t="shared" si="44"/>
        <v>0</v>
      </c>
      <c r="P198" s="6">
        <f t="shared" si="45"/>
        <v>0</v>
      </c>
      <c r="Q198" s="11"/>
    </row>
    <row r="199" spans="1:17" ht="20.25" customHeight="1" x14ac:dyDescent="0.3">
      <c r="A199" s="15" t="s">
        <v>175</v>
      </c>
      <c r="B199" s="1" t="s">
        <v>535</v>
      </c>
      <c r="C199" s="1">
        <v>0</v>
      </c>
      <c r="D199" s="1">
        <v>0</v>
      </c>
      <c r="E199" s="1">
        <v>0</v>
      </c>
      <c r="F199" s="23">
        <v>0</v>
      </c>
      <c r="H199" s="1" t="str">
        <f t="shared" si="46"/>
        <v>支付的其他与投资活动有关的现金(万元)</v>
      </c>
      <c r="I199" s="6">
        <f t="shared" si="48"/>
        <v>0</v>
      </c>
      <c r="J199" s="6">
        <f t="shared" si="49"/>
        <v>0</v>
      </c>
      <c r="K199" s="6">
        <f t="shared" si="50"/>
        <v>0</v>
      </c>
      <c r="M199" s="1" t="str">
        <f t="shared" si="47"/>
        <v>支付的其他与投资活动有关的现金(万元)</v>
      </c>
      <c r="N199" s="6">
        <f t="shared" si="43"/>
        <v>0</v>
      </c>
      <c r="O199" s="6">
        <f t="shared" si="44"/>
        <v>0</v>
      </c>
      <c r="P199" s="6">
        <f t="shared" si="45"/>
        <v>0</v>
      </c>
      <c r="Q199" s="11"/>
    </row>
    <row r="200" spans="1:17" ht="20.25" customHeight="1" x14ac:dyDescent="0.3">
      <c r="A200" s="15" t="s">
        <v>176</v>
      </c>
      <c r="B200" s="1" t="s">
        <v>536</v>
      </c>
      <c r="C200" s="1">
        <v>0</v>
      </c>
      <c r="D200" s="1">
        <v>0</v>
      </c>
      <c r="E200" s="1">
        <v>0</v>
      </c>
      <c r="F200" s="23">
        <v>0</v>
      </c>
      <c r="H200" s="1" t="str">
        <f t="shared" si="46"/>
        <v>增加质押和定期存款所支付的现金(万元)</v>
      </c>
      <c r="I200" s="6">
        <f t="shared" si="48"/>
        <v>0</v>
      </c>
      <c r="J200" s="6">
        <f t="shared" si="49"/>
        <v>0</v>
      </c>
      <c r="K200" s="6">
        <f t="shared" si="50"/>
        <v>0</v>
      </c>
      <c r="M200" s="1" t="str">
        <f t="shared" si="47"/>
        <v>增加质押和定期存款所支付的现金(万元)</v>
      </c>
      <c r="N200" s="6">
        <f t="shared" si="43"/>
        <v>0</v>
      </c>
      <c r="O200" s="6">
        <f t="shared" si="44"/>
        <v>0</v>
      </c>
      <c r="P200" s="6">
        <f t="shared" si="45"/>
        <v>0</v>
      </c>
      <c r="Q200" s="11"/>
    </row>
    <row r="201" spans="1:17" ht="20.25" customHeight="1" x14ac:dyDescent="0.3">
      <c r="A201" s="15" t="s">
        <v>202</v>
      </c>
      <c r="B201" s="1" t="s">
        <v>537</v>
      </c>
      <c r="C201" s="1">
        <v>44178</v>
      </c>
      <c r="D201" s="1">
        <v>61371</v>
      </c>
      <c r="E201" s="1">
        <v>63601</v>
      </c>
      <c r="F201" s="23">
        <v>28218</v>
      </c>
      <c r="H201" s="1" t="str">
        <f t="shared" si="46"/>
        <v>投资活动现金流出小计(万元)</v>
      </c>
      <c r="I201" s="6">
        <f t="shared" si="48"/>
        <v>-2.5841132428638276</v>
      </c>
      <c r="J201" s="6">
        <f t="shared" si="49"/>
        <v>7.8964230571281524</v>
      </c>
      <c r="K201" s="6">
        <f t="shared" si="50"/>
        <v>-13.808293530178029</v>
      </c>
      <c r="M201" s="1" t="str">
        <f t="shared" si="47"/>
        <v>投资活动现金流出小计(万元)</v>
      </c>
      <c r="N201" s="6">
        <f t="shared" si="43"/>
        <v>0.16116322766917102</v>
      </c>
      <c r="O201" s="6">
        <f t="shared" si="44"/>
        <v>-0.28014860438969547</v>
      </c>
      <c r="P201" s="6">
        <f t="shared" si="45"/>
        <v>-3.5062341787078788E-2</v>
      </c>
      <c r="Q201" s="11"/>
    </row>
    <row r="202" spans="1:17" ht="20.25" customHeight="1" x14ac:dyDescent="0.3">
      <c r="A202" s="15" t="s">
        <v>252</v>
      </c>
      <c r="B202" s="1" t="s">
        <v>538</v>
      </c>
      <c r="C202" s="1">
        <v>-18845</v>
      </c>
      <c r="D202" s="1">
        <v>-40573</v>
      </c>
      <c r="E202" s="1">
        <v>-33636</v>
      </c>
      <c r="F202" s="23">
        <v>-13338</v>
      </c>
      <c r="H202" s="1" t="str">
        <f t="shared" si="46"/>
        <v>投资活动产生的现金流量净额(万元)</v>
      </c>
      <c r="I202" s="6">
        <f t="shared" si="48"/>
        <v>1.1023046326626111</v>
      </c>
      <c r="J202" s="6">
        <f t="shared" si="49"/>
        <v>-5.2204065877509009</v>
      </c>
      <c r="K202" s="6">
        <f t="shared" si="50"/>
        <v>7.302648719062093</v>
      </c>
      <c r="M202" s="1" t="str">
        <f t="shared" si="47"/>
        <v>投资活动产生的现金流量净额(万元)</v>
      </c>
      <c r="N202" s="6">
        <f t="shared" si="43"/>
        <v>0.12210925117024085</v>
      </c>
      <c r="O202" s="6">
        <f t="shared" si="44"/>
        <v>-0.5355285534715204</v>
      </c>
      <c r="P202" s="6">
        <f t="shared" si="45"/>
        <v>0.20623736472826737</v>
      </c>
      <c r="Q202" s="11"/>
    </row>
    <row r="203" spans="1:17" ht="20.25" customHeight="1" x14ac:dyDescent="0.3">
      <c r="A203" s="15" t="s">
        <v>203</v>
      </c>
      <c r="B203" s="1" t="s">
        <v>539</v>
      </c>
      <c r="C203" s="1">
        <v>13840</v>
      </c>
      <c r="D203" s="1">
        <v>8336</v>
      </c>
      <c r="E203" s="1">
        <v>823</v>
      </c>
      <c r="F203" s="23">
        <v>5075</v>
      </c>
      <c r="H203" s="1" t="str">
        <f t="shared" si="46"/>
        <v>吸收投资收到的现金(万元)</v>
      </c>
      <c r="I203" s="6">
        <f t="shared" si="48"/>
        <v>-0.80954609265325217</v>
      </c>
      <c r="J203" s="6">
        <f t="shared" si="49"/>
        <v>1.0725681935151827</v>
      </c>
      <c r="K203" s="6">
        <f t="shared" si="50"/>
        <v>-0.1786799826313504</v>
      </c>
      <c r="M203" s="1" t="str">
        <f t="shared" si="47"/>
        <v>吸收投资收到的现金(万元)</v>
      </c>
      <c r="N203" s="6">
        <f t="shared" si="43"/>
        <v>0.3971188359403639</v>
      </c>
      <c r="O203" s="6">
        <f t="shared" si="44"/>
        <v>0.66026871401151621</v>
      </c>
      <c r="P203" s="6">
        <f t="shared" si="45"/>
        <v>9.1287970838396113</v>
      </c>
      <c r="Q203" s="11"/>
    </row>
    <row r="204" spans="1:17" ht="20.25" customHeight="1" x14ac:dyDescent="0.3">
      <c r="A204" s="15" t="s">
        <v>204</v>
      </c>
      <c r="B204" s="1" t="s">
        <v>540</v>
      </c>
      <c r="C204" s="1">
        <v>0</v>
      </c>
      <c r="D204" s="1">
        <v>0</v>
      </c>
      <c r="E204" s="1">
        <v>0</v>
      </c>
      <c r="F204" s="23">
        <v>0</v>
      </c>
      <c r="H204" s="1" t="str">
        <f t="shared" si="46"/>
        <v>其中：子公司吸收少数股东投资收到的现金(万元)</v>
      </c>
      <c r="I204" s="6">
        <f t="shared" si="48"/>
        <v>0</v>
      </c>
      <c r="J204" s="6">
        <f t="shared" si="49"/>
        <v>0</v>
      </c>
      <c r="K204" s="6">
        <f t="shared" si="50"/>
        <v>0</v>
      </c>
      <c r="M204" s="1" t="str">
        <f t="shared" si="47"/>
        <v>其中：子公司吸收少数股东投资收到的现金(万元)</v>
      </c>
      <c r="N204" s="6">
        <f t="shared" si="43"/>
        <v>0</v>
      </c>
      <c r="O204" s="6">
        <f t="shared" si="44"/>
        <v>0</v>
      </c>
      <c r="P204" s="6">
        <f t="shared" si="45"/>
        <v>0</v>
      </c>
      <c r="Q204" s="11"/>
    </row>
    <row r="205" spans="1:17" ht="20.25" customHeight="1" x14ac:dyDescent="0.3">
      <c r="A205" s="15" t="s">
        <v>205</v>
      </c>
      <c r="B205" s="1" t="s">
        <v>541</v>
      </c>
      <c r="C205" s="1">
        <v>0</v>
      </c>
      <c r="D205" s="1">
        <v>0</v>
      </c>
      <c r="E205" s="1">
        <v>0</v>
      </c>
      <c r="F205" s="23">
        <v>0</v>
      </c>
      <c r="H205" s="1" t="str">
        <f t="shared" si="46"/>
        <v>取得借款收到的现金(万元)</v>
      </c>
      <c r="I205" s="6">
        <f t="shared" si="48"/>
        <v>0</v>
      </c>
      <c r="J205" s="6">
        <f t="shared" si="49"/>
        <v>0</v>
      </c>
      <c r="K205" s="6">
        <f t="shared" si="50"/>
        <v>0</v>
      </c>
      <c r="M205" s="1" t="str">
        <f t="shared" si="47"/>
        <v>取得借款收到的现金(万元)</v>
      </c>
      <c r="N205" s="6">
        <f t="shared" si="43"/>
        <v>0</v>
      </c>
      <c r="O205" s="6">
        <f t="shared" si="44"/>
        <v>0</v>
      </c>
      <c r="P205" s="6">
        <f t="shared" si="45"/>
        <v>0</v>
      </c>
      <c r="Q205" s="11"/>
    </row>
    <row r="206" spans="1:17" ht="20.25" customHeight="1" x14ac:dyDescent="0.3">
      <c r="A206" s="15" t="s">
        <v>206</v>
      </c>
      <c r="B206" s="1" t="s">
        <v>542</v>
      </c>
      <c r="C206" s="1">
        <v>0</v>
      </c>
      <c r="D206" s="1">
        <v>0</v>
      </c>
      <c r="E206" s="1">
        <v>0</v>
      </c>
      <c r="F206" s="23">
        <v>0</v>
      </c>
      <c r="H206" s="1" t="str">
        <f t="shared" si="46"/>
        <v>发行债券收到的现金(万元)</v>
      </c>
      <c r="I206" s="6">
        <f t="shared" si="48"/>
        <v>0</v>
      </c>
      <c r="J206" s="6">
        <f t="shared" si="49"/>
        <v>0</v>
      </c>
      <c r="K206" s="6">
        <f t="shared" si="50"/>
        <v>0</v>
      </c>
      <c r="M206" s="1" t="str">
        <f t="shared" si="47"/>
        <v>发行债券收到的现金(万元)</v>
      </c>
      <c r="N206" s="6">
        <f t="shared" si="43"/>
        <v>0</v>
      </c>
      <c r="O206" s="6">
        <f t="shared" si="44"/>
        <v>0</v>
      </c>
      <c r="P206" s="6">
        <f t="shared" si="45"/>
        <v>0</v>
      </c>
      <c r="Q206" s="11"/>
    </row>
    <row r="207" spans="1:17" ht="20.25" customHeight="1" x14ac:dyDescent="0.3">
      <c r="A207" s="15" t="s">
        <v>207</v>
      </c>
      <c r="B207" s="1" t="s">
        <v>543</v>
      </c>
      <c r="C207" s="1">
        <v>105</v>
      </c>
      <c r="D207" s="1">
        <v>0</v>
      </c>
      <c r="E207" s="1">
        <v>300</v>
      </c>
      <c r="F207" s="23">
        <v>0</v>
      </c>
      <c r="H207" s="1" t="str">
        <f t="shared" si="46"/>
        <v>收到其他与筹资活动有关的现金(万元)</v>
      </c>
      <c r="I207" s="6">
        <f t="shared" si="48"/>
        <v>-6.1417875526438934E-3</v>
      </c>
      <c r="J207" s="6">
        <f t="shared" si="49"/>
        <v>0</v>
      </c>
      <c r="K207" s="6">
        <f t="shared" si="50"/>
        <v>-6.5132435953104639E-2</v>
      </c>
      <c r="M207" s="1" t="str">
        <f t="shared" si="47"/>
        <v>收到其他与筹资活动有关的现金(万元)</v>
      </c>
      <c r="N207" s="6">
        <f t="shared" si="43"/>
        <v>0</v>
      </c>
      <c r="O207" s="6">
        <f t="shared" si="44"/>
        <v>0</v>
      </c>
      <c r="P207" s="6">
        <f t="shared" si="45"/>
        <v>-1</v>
      </c>
      <c r="Q207" s="11"/>
    </row>
    <row r="208" spans="1:17" ht="20.25" customHeight="1" x14ac:dyDescent="0.3">
      <c r="A208" s="12" t="s">
        <v>208</v>
      </c>
      <c r="B208" s="1" t="s">
        <v>544</v>
      </c>
      <c r="C208" s="1">
        <v>13945</v>
      </c>
      <c r="D208" s="1">
        <v>8336</v>
      </c>
      <c r="E208" s="1">
        <v>1123</v>
      </c>
      <c r="F208" s="23">
        <v>5075</v>
      </c>
      <c r="H208" s="1" t="str">
        <f t="shared" si="46"/>
        <v>筹资活动现金流入小计(万元)</v>
      </c>
      <c r="I208" s="6">
        <f t="shared" si="48"/>
        <v>-0.81568788020589611</v>
      </c>
      <c r="J208" s="6">
        <f t="shared" si="49"/>
        <v>1.0725681935151827</v>
      </c>
      <c r="K208" s="6">
        <f t="shared" si="50"/>
        <v>-0.24381241858445507</v>
      </c>
      <c r="M208" s="1" t="str">
        <f t="shared" si="47"/>
        <v>筹资活动现金流入小计(万元)</v>
      </c>
      <c r="N208" s="6">
        <f t="shared" si="43"/>
        <v>0.40064311460215873</v>
      </c>
      <c r="O208" s="6">
        <f t="shared" si="44"/>
        <v>0.67286468330134364</v>
      </c>
      <c r="P208" s="6">
        <f t="shared" si="45"/>
        <v>6.4229741763134465</v>
      </c>
      <c r="Q208" s="11"/>
    </row>
    <row r="209" spans="1:17" ht="20.25" customHeight="1" x14ac:dyDescent="0.3">
      <c r="A209" s="12" t="s">
        <v>210</v>
      </c>
      <c r="B209" s="1" t="s">
        <v>545</v>
      </c>
      <c r="C209" s="1">
        <v>0</v>
      </c>
      <c r="D209" s="1">
        <v>0</v>
      </c>
      <c r="E209" s="1">
        <v>0</v>
      </c>
      <c r="F209" s="23">
        <v>0</v>
      </c>
      <c r="H209" s="1" t="str">
        <f t="shared" si="46"/>
        <v>偿还债务支付的现金(万元)</v>
      </c>
      <c r="I209" s="6">
        <f t="shared" si="48"/>
        <v>0</v>
      </c>
      <c r="J209" s="6">
        <f t="shared" si="49"/>
        <v>0</v>
      </c>
      <c r="K209" s="6">
        <f t="shared" si="50"/>
        <v>0</v>
      </c>
      <c r="M209" s="1" t="str">
        <f t="shared" si="47"/>
        <v>偿还债务支付的现金(万元)</v>
      </c>
      <c r="N209" s="6">
        <f t="shared" si="43"/>
        <v>0</v>
      </c>
      <c r="O209" s="6">
        <f t="shared" si="44"/>
        <v>0</v>
      </c>
      <c r="P209" s="6">
        <f t="shared" si="45"/>
        <v>0</v>
      </c>
      <c r="Q209" s="11"/>
    </row>
    <row r="210" spans="1:17" ht="20.25" customHeight="1" x14ac:dyDescent="0.3">
      <c r="A210" s="15" t="s">
        <v>165</v>
      </c>
      <c r="B210" s="1" t="s">
        <v>546</v>
      </c>
      <c r="C210" s="1">
        <v>6133</v>
      </c>
      <c r="D210" s="1">
        <v>5964</v>
      </c>
      <c r="E210" s="1">
        <v>2303</v>
      </c>
      <c r="F210" s="23">
        <v>2833</v>
      </c>
      <c r="H210" s="1" t="str">
        <f t="shared" si="46"/>
        <v>分配股利、利润或偿付利息所支付的现金(万元)</v>
      </c>
      <c r="I210" s="6">
        <f t="shared" si="48"/>
        <v>-0.35873888628919043</v>
      </c>
      <c r="J210" s="6">
        <f t="shared" si="49"/>
        <v>0.76737004632012351</v>
      </c>
      <c r="K210" s="6">
        <f t="shared" si="50"/>
        <v>-0.5</v>
      </c>
      <c r="M210" s="1" t="str">
        <f t="shared" si="47"/>
        <v>分配股利、利润或偿付利息所支付的现金(万元)</v>
      </c>
      <c r="N210" s="6">
        <f t="shared" si="43"/>
        <v>0.2936261818463648</v>
      </c>
      <c r="O210" s="6">
        <f t="shared" si="44"/>
        <v>2.8336686787391097E-2</v>
      </c>
      <c r="P210" s="6">
        <f t="shared" si="45"/>
        <v>1.5896656534954405</v>
      </c>
      <c r="Q210" s="11"/>
    </row>
    <row r="211" spans="1:17" ht="20.25" customHeight="1" x14ac:dyDescent="0.3">
      <c r="A211" s="15" t="s">
        <v>211</v>
      </c>
      <c r="B211" s="1" t="s">
        <v>547</v>
      </c>
      <c r="C211" s="1">
        <v>0</v>
      </c>
      <c r="D211" s="1">
        <v>0</v>
      </c>
      <c r="E211" s="1">
        <v>0</v>
      </c>
      <c r="F211" s="23">
        <v>0</v>
      </c>
      <c r="H211" s="1" t="str">
        <f t="shared" si="46"/>
        <v>其中：子公司支付给少数股东的股利、利润(万元)</v>
      </c>
      <c r="I211" s="6">
        <f t="shared" si="48"/>
        <v>0</v>
      </c>
      <c r="J211" s="6">
        <f t="shared" si="49"/>
        <v>0</v>
      </c>
      <c r="K211" s="6">
        <f t="shared" si="50"/>
        <v>0</v>
      </c>
      <c r="M211" s="1" t="str">
        <f t="shared" si="47"/>
        <v>其中：子公司支付给少数股东的股利、利润(万元)</v>
      </c>
      <c r="N211" s="6">
        <f t="shared" si="43"/>
        <v>0</v>
      </c>
      <c r="O211" s="6">
        <f t="shared" si="44"/>
        <v>0</v>
      </c>
      <c r="P211" s="6">
        <f t="shared" si="45"/>
        <v>0</v>
      </c>
      <c r="Q211" s="11"/>
    </row>
    <row r="212" spans="1:17" ht="20.25" customHeight="1" x14ac:dyDescent="0.3">
      <c r="A212" s="15" t="s">
        <v>212</v>
      </c>
      <c r="B212" s="1" t="s">
        <v>548</v>
      </c>
      <c r="C212" s="1">
        <v>0</v>
      </c>
      <c r="D212" s="1">
        <v>0</v>
      </c>
      <c r="E212" s="1">
        <v>0</v>
      </c>
      <c r="F212" s="23">
        <v>0</v>
      </c>
      <c r="H212" s="1" t="str">
        <f t="shared" si="46"/>
        <v>支付其他与筹资活动有关的现金(万元)</v>
      </c>
      <c r="I212" s="6">
        <f t="shared" si="48"/>
        <v>0</v>
      </c>
      <c r="J212" s="6">
        <f t="shared" si="49"/>
        <v>0</v>
      </c>
      <c r="K212" s="6">
        <f t="shared" si="50"/>
        <v>0</v>
      </c>
      <c r="M212" s="1" t="str">
        <f t="shared" si="47"/>
        <v>支付其他与筹资活动有关的现金(万元)</v>
      </c>
      <c r="N212" s="6">
        <f t="shared" si="43"/>
        <v>0</v>
      </c>
      <c r="O212" s="6">
        <f t="shared" si="44"/>
        <v>0</v>
      </c>
      <c r="P212" s="6">
        <f t="shared" si="45"/>
        <v>0</v>
      </c>
      <c r="Q212" s="11"/>
    </row>
    <row r="213" spans="1:17" ht="20.25" customHeight="1" x14ac:dyDescent="0.3">
      <c r="A213" s="12" t="s">
        <v>213</v>
      </c>
      <c r="B213" s="1" t="s">
        <v>549</v>
      </c>
      <c r="C213" s="1">
        <v>6133</v>
      </c>
      <c r="D213" s="1">
        <v>5964</v>
      </c>
      <c r="E213" s="1">
        <v>2303</v>
      </c>
      <c r="F213" s="23">
        <v>2833</v>
      </c>
      <c r="H213" s="1" t="str">
        <f t="shared" si="46"/>
        <v>筹资活动现金流出小计(万元)</v>
      </c>
      <c r="I213" s="6">
        <f t="shared" si="48"/>
        <v>-0.35873888628919043</v>
      </c>
      <c r="J213" s="6">
        <f t="shared" si="49"/>
        <v>0.76737004632012351</v>
      </c>
      <c r="K213" s="6">
        <f t="shared" si="50"/>
        <v>-0.5</v>
      </c>
      <c r="M213" s="1" t="str">
        <f t="shared" si="47"/>
        <v>筹资活动现金流出小计(万元)</v>
      </c>
      <c r="N213" s="6">
        <f t="shared" si="43"/>
        <v>0.2936261818463648</v>
      </c>
      <c r="O213" s="6">
        <f t="shared" si="44"/>
        <v>2.8336686787391097E-2</v>
      </c>
      <c r="P213" s="6">
        <f t="shared" si="45"/>
        <v>1.5896656534954405</v>
      </c>
      <c r="Q213" s="11"/>
    </row>
    <row r="214" spans="1:17" ht="20.25" customHeight="1" x14ac:dyDescent="0.3">
      <c r="A214" s="12" t="s">
        <v>253</v>
      </c>
      <c r="B214" s="1" t="s">
        <v>550</v>
      </c>
      <c r="C214" s="1">
        <v>7811</v>
      </c>
      <c r="D214" s="1">
        <v>2372</v>
      </c>
      <c r="E214" s="1">
        <v>-1180</v>
      </c>
      <c r="F214" s="23">
        <v>2242</v>
      </c>
      <c r="H214" s="1" t="str">
        <f t="shared" si="46"/>
        <v>筹资活动产生的现金流量净额(万元)</v>
      </c>
      <c r="I214" s="6">
        <f t="shared" si="48"/>
        <v>-0.45689050070191856</v>
      </c>
      <c r="J214" s="6">
        <f t="shared" si="49"/>
        <v>0.30519814719505917</v>
      </c>
      <c r="K214" s="6">
        <f t="shared" si="50"/>
        <v>0.25618758141554493</v>
      </c>
      <c r="M214" s="1" t="str">
        <f t="shared" si="47"/>
        <v>筹资活动产生的现金流量净额(万元)</v>
      </c>
      <c r="N214" s="6">
        <f t="shared" si="43"/>
        <v>0.51596907912919443</v>
      </c>
      <c r="O214" s="6">
        <f t="shared" si="44"/>
        <v>2.2930016863406406</v>
      </c>
      <c r="P214" s="6">
        <f t="shared" si="45"/>
        <v>-3.0101694915254238</v>
      </c>
      <c r="Q214" s="11"/>
    </row>
    <row r="215" spans="1:17" ht="20.25" customHeight="1" x14ac:dyDescent="0.3">
      <c r="A215" s="12" t="s">
        <v>214</v>
      </c>
      <c r="B215" s="1" t="s">
        <v>551</v>
      </c>
      <c r="C215" s="1">
        <v>0</v>
      </c>
      <c r="D215" s="1">
        <v>0</v>
      </c>
      <c r="E215" s="1">
        <v>0</v>
      </c>
      <c r="F215" s="23">
        <v>0</v>
      </c>
      <c r="H215" s="1" t="str">
        <f t="shared" si="46"/>
        <v>汇率变动对现金及现金等价物的影响(万元)</v>
      </c>
      <c r="I215" s="6">
        <f t="shared" si="48"/>
        <v>0</v>
      </c>
      <c r="J215" s="6">
        <f t="shared" si="49"/>
        <v>0</v>
      </c>
      <c r="K215" s="6">
        <f t="shared" si="50"/>
        <v>0</v>
      </c>
      <c r="M215" s="1" t="str">
        <f t="shared" si="47"/>
        <v>汇率变动对现金及现金等价物的影响(万元)</v>
      </c>
      <c r="N215" s="6">
        <f t="shared" si="43"/>
        <v>0</v>
      </c>
      <c r="O215" s="6">
        <f t="shared" si="44"/>
        <v>0</v>
      </c>
      <c r="P215" s="6">
        <f t="shared" si="45"/>
        <v>0</v>
      </c>
      <c r="Q215" s="11"/>
    </row>
    <row r="216" spans="1:17" ht="20.25" customHeight="1" x14ac:dyDescent="0.3">
      <c r="A216" s="12" t="s">
        <v>215</v>
      </c>
      <c r="B216" s="1" t="s">
        <v>552</v>
      </c>
      <c r="C216" s="1">
        <v>-28131</v>
      </c>
      <c r="D216" s="1">
        <v>-30428</v>
      </c>
      <c r="E216" s="1">
        <v>-39422</v>
      </c>
      <c r="F216" s="23">
        <v>-4267</v>
      </c>
      <c r="H216" s="1" t="str">
        <f t="shared" si="46"/>
        <v>现金及现金等价物净增加额(万元)</v>
      </c>
      <c r="I216" s="6">
        <f t="shared" si="48"/>
        <v>1.6454726251754797</v>
      </c>
      <c r="J216" s="6">
        <f t="shared" si="49"/>
        <v>-3.9150797735460627</v>
      </c>
      <c r="K216" s="6">
        <f t="shared" si="50"/>
        <v>8.5588363004776387</v>
      </c>
      <c r="M216" s="1" t="str">
        <f t="shared" si="47"/>
        <v>现金及现金等价物净增加额(万元)</v>
      </c>
      <c r="N216" s="6">
        <f t="shared" si="43"/>
        <v>0.87508449479915784</v>
      </c>
      <c r="O216" s="6">
        <f t="shared" si="44"/>
        <v>-7.5489680557381367E-2</v>
      </c>
      <c r="P216" s="6">
        <f t="shared" si="45"/>
        <v>-0.22814672010552484</v>
      </c>
      <c r="Q216" s="11"/>
    </row>
    <row r="217" spans="1:17" ht="20.25" customHeight="1" x14ac:dyDescent="0.3">
      <c r="A217" s="15" t="s">
        <v>216</v>
      </c>
      <c r="B217" s="1" t="s">
        <v>553</v>
      </c>
      <c r="C217" s="1">
        <v>52678</v>
      </c>
      <c r="D217" s="1">
        <v>72405</v>
      </c>
      <c r="E217" s="1">
        <v>93898</v>
      </c>
      <c r="F217" s="23">
        <v>68937</v>
      </c>
      <c r="H217" s="1" t="str">
        <f t="shared" si="46"/>
        <v>加:期初现金及现金等价物余额(万元)</v>
      </c>
      <c r="I217" s="6">
        <f t="shared" si="48"/>
        <v>-3.0813055685540478</v>
      </c>
      <c r="J217" s="6">
        <f t="shared" si="49"/>
        <v>9.3161348430262478</v>
      </c>
      <c r="K217" s="6">
        <f t="shared" si="50"/>
        <v>-20.386018237082066</v>
      </c>
      <c r="M217" s="1" t="str">
        <f t="shared" si="47"/>
        <v>加:期初现金及现金等价物余额(万元)</v>
      </c>
      <c r="N217" s="6">
        <f t="shared" si="43"/>
        <v>-8.5762637011605802E-2</v>
      </c>
      <c r="O217" s="6">
        <f t="shared" si="44"/>
        <v>-0.27245355983702779</v>
      </c>
      <c r="P217" s="6">
        <f t="shared" si="45"/>
        <v>-0.2288973141067967</v>
      </c>
      <c r="Q217" s="11"/>
    </row>
    <row r="218" spans="1:17" ht="20.25" customHeight="1" x14ac:dyDescent="0.3">
      <c r="A218" s="15" t="s">
        <v>217</v>
      </c>
      <c r="B218" s="1" t="s">
        <v>554</v>
      </c>
      <c r="C218" s="1">
        <v>24548</v>
      </c>
      <c r="D218" s="1">
        <v>41977</v>
      </c>
      <c r="E218" s="1">
        <v>54476</v>
      </c>
      <c r="F218" s="23">
        <v>64670</v>
      </c>
      <c r="H218" s="1" t="str">
        <f t="shared" si="46"/>
        <v>期末现金及现金等价物余额(万元)</v>
      </c>
      <c r="I218" s="6">
        <f t="shared" si="48"/>
        <v>-1.4358914365933553</v>
      </c>
      <c r="J218" s="6">
        <f t="shared" si="49"/>
        <v>5.4010550694801855</v>
      </c>
      <c r="K218" s="6">
        <f t="shared" si="50"/>
        <v>-11.827181936604429</v>
      </c>
      <c r="M218" s="1" t="str">
        <f t="shared" si="47"/>
        <v>期末现金及现金等价物余额(万元)</v>
      </c>
      <c r="N218" s="6">
        <f t="shared" si="43"/>
        <v>-0.27594578753944132</v>
      </c>
      <c r="O218" s="6">
        <f t="shared" si="44"/>
        <v>-0.41520356385639756</v>
      </c>
      <c r="P218" s="6">
        <f t="shared" si="45"/>
        <v>-0.22944048755415225</v>
      </c>
      <c r="Q218" s="11"/>
    </row>
    <row r="219" spans="1:17" ht="20.25" customHeight="1" x14ac:dyDescent="0.3">
      <c r="A219" s="15" t="s">
        <v>218</v>
      </c>
      <c r="B219" s="1" t="s">
        <v>494</v>
      </c>
      <c r="C219" s="1">
        <v>15859</v>
      </c>
      <c r="D219" s="1">
        <v>16936</v>
      </c>
      <c r="E219" s="1">
        <v>18291</v>
      </c>
      <c r="F219" s="23">
        <v>15756</v>
      </c>
      <c r="H219" s="1" t="str">
        <f t="shared" si="46"/>
        <v>净利润(万元)</v>
      </c>
      <c r="I219" s="6">
        <f t="shared" si="48"/>
        <v>-0.92764389330837627</v>
      </c>
      <c r="J219" s="6">
        <f t="shared" si="49"/>
        <v>2.1791044776119404</v>
      </c>
      <c r="K219" s="6">
        <f t="shared" si="50"/>
        <v>-3.9711246200607904</v>
      </c>
      <c r="M219" s="1" t="str">
        <f t="shared" si="47"/>
        <v>净利润(万元)</v>
      </c>
      <c r="N219" s="6">
        <f t="shared" si="43"/>
        <v>2.1743329100998299E-3</v>
      </c>
      <c r="O219" s="6">
        <f t="shared" si="44"/>
        <v>-6.3592347661785564E-2</v>
      </c>
      <c r="P219" s="6">
        <f t="shared" si="45"/>
        <v>-7.4080148707014404E-2</v>
      </c>
      <c r="Q219" s="11"/>
    </row>
    <row r="220" spans="1:17" ht="20.25" customHeight="1" x14ac:dyDescent="0.3">
      <c r="A220" s="15" t="s">
        <v>219</v>
      </c>
      <c r="B220" s="1" t="s">
        <v>497</v>
      </c>
      <c r="C220" s="1">
        <v>0</v>
      </c>
      <c r="D220" s="1">
        <v>0</v>
      </c>
      <c r="E220" s="1">
        <v>0</v>
      </c>
      <c r="F220" s="23">
        <v>0</v>
      </c>
      <c r="H220" s="1" t="str">
        <f t="shared" si="46"/>
        <v>少数股东损益(万元)</v>
      </c>
      <c r="I220" s="6">
        <f t="shared" si="48"/>
        <v>0</v>
      </c>
      <c r="J220" s="6">
        <f t="shared" si="49"/>
        <v>0</v>
      </c>
      <c r="K220" s="6">
        <f t="shared" si="50"/>
        <v>0</v>
      </c>
      <c r="M220" s="1" t="str">
        <f t="shared" si="47"/>
        <v>少数股东损益(万元)</v>
      </c>
      <c r="N220" s="6">
        <f t="shared" si="43"/>
        <v>0</v>
      </c>
      <c r="O220" s="6">
        <f t="shared" si="44"/>
        <v>0</v>
      </c>
      <c r="P220" s="6">
        <f t="shared" si="45"/>
        <v>0</v>
      </c>
      <c r="Q220" s="11"/>
    </row>
    <row r="221" spans="1:17" ht="20.25" customHeight="1" x14ac:dyDescent="0.3">
      <c r="A221" s="15" t="s">
        <v>220</v>
      </c>
      <c r="B221" s="1" t="s">
        <v>555</v>
      </c>
      <c r="C221" s="1">
        <v>0</v>
      </c>
      <c r="D221" s="1">
        <v>0</v>
      </c>
      <c r="E221" s="1">
        <v>0</v>
      </c>
      <c r="F221" s="23">
        <v>0</v>
      </c>
      <c r="H221" s="1" t="str">
        <f t="shared" si="46"/>
        <v>未确认的投资损失(万元)</v>
      </c>
      <c r="I221" s="6">
        <f t="shared" si="48"/>
        <v>0</v>
      </c>
      <c r="J221" s="6">
        <f t="shared" si="49"/>
        <v>0</v>
      </c>
      <c r="K221" s="6">
        <f t="shared" si="50"/>
        <v>0</v>
      </c>
      <c r="M221" s="1" t="str">
        <f t="shared" si="47"/>
        <v>未确认的投资损失(万元)</v>
      </c>
      <c r="N221" s="6">
        <f t="shared" si="43"/>
        <v>0</v>
      </c>
      <c r="O221" s="6">
        <f t="shared" si="44"/>
        <v>0</v>
      </c>
      <c r="P221" s="6">
        <f t="shared" si="45"/>
        <v>0</v>
      </c>
      <c r="Q221" s="11"/>
    </row>
    <row r="222" spans="1:17" ht="20.25" customHeight="1" x14ac:dyDescent="0.3">
      <c r="A222" s="15" t="s">
        <v>221</v>
      </c>
      <c r="B222" s="1" t="s">
        <v>556</v>
      </c>
      <c r="C222" s="1">
        <v>-553</v>
      </c>
      <c r="D222" s="1">
        <v>-244</v>
      </c>
      <c r="E222" s="1">
        <v>140</v>
      </c>
      <c r="F222" s="23">
        <v>-25</v>
      </c>
      <c r="H222" s="1" t="str">
        <f t="shared" si="46"/>
        <v>资产减值准备(万元)</v>
      </c>
      <c r="I222" s="6">
        <f t="shared" si="48"/>
        <v>3.2346747777257837E-2</v>
      </c>
      <c r="J222" s="6">
        <f t="shared" si="49"/>
        <v>-3.1394750386001029E-2</v>
      </c>
      <c r="K222" s="6">
        <f t="shared" si="50"/>
        <v>-3.0395136778115502E-2</v>
      </c>
      <c r="M222" s="1" t="str">
        <f t="shared" si="47"/>
        <v>资产减值准备(万元)</v>
      </c>
      <c r="N222" s="6">
        <f t="shared" si="43"/>
        <v>1.8071247126481289</v>
      </c>
      <c r="O222" s="6">
        <f t="shared" si="44"/>
        <v>1.2663934426229506</v>
      </c>
      <c r="P222" s="6">
        <f t="shared" si="45"/>
        <v>-2.7428571428571429</v>
      </c>
      <c r="Q222" s="11"/>
    </row>
    <row r="223" spans="1:17" ht="20.25" customHeight="1" x14ac:dyDescent="0.3">
      <c r="A223" s="15" t="s">
        <v>222</v>
      </c>
      <c r="B223" s="1" t="s">
        <v>557</v>
      </c>
      <c r="C223" s="1">
        <v>1914</v>
      </c>
      <c r="D223" s="1">
        <v>2186</v>
      </c>
      <c r="E223" s="1">
        <v>1794</v>
      </c>
      <c r="F223" s="23">
        <v>1865</v>
      </c>
      <c r="H223" s="1" t="str">
        <f t="shared" si="46"/>
        <v>固定资产折旧、油气资产折耗、生产性物资折旧(万元)</v>
      </c>
      <c r="I223" s="6">
        <f t="shared" si="48"/>
        <v>-0.11195601310248011</v>
      </c>
      <c r="J223" s="6">
        <f t="shared" si="49"/>
        <v>0.28126608337622233</v>
      </c>
      <c r="K223" s="6">
        <f t="shared" si="50"/>
        <v>-0.38949196699956579</v>
      </c>
      <c r="M223" s="1" t="str">
        <f t="shared" si="47"/>
        <v>固定资产折旧、油气资产折耗、生产性物资折旧(万元)</v>
      </c>
      <c r="N223" s="6">
        <f t="shared" si="43"/>
        <v>8.6822203730652081E-3</v>
      </c>
      <c r="O223" s="6">
        <f t="shared" si="44"/>
        <v>-0.12442817932296435</v>
      </c>
      <c r="P223" s="6">
        <f t="shared" si="45"/>
        <v>0.21850613154960974</v>
      </c>
      <c r="Q223" s="11"/>
    </row>
    <row r="224" spans="1:17" ht="20.25" customHeight="1" x14ac:dyDescent="0.3">
      <c r="A224" s="15" t="s">
        <v>223</v>
      </c>
      <c r="B224" s="1" t="s">
        <v>558</v>
      </c>
      <c r="C224" s="1">
        <v>211</v>
      </c>
      <c r="D224" s="1">
        <v>85</v>
      </c>
      <c r="E224" s="1">
        <v>180</v>
      </c>
      <c r="F224" s="23">
        <v>180</v>
      </c>
      <c r="H224" s="1" t="str">
        <f t="shared" si="46"/>
        <v>无形资产摊销(万元)</v>
      </c>
      <c r="I224" s="6">
        <f t="shared" si="48"/>
        <v>-1.2342068320074871E-2</v>
      </c>
      <c r="J224" s="6">
        <f t="shared" si="49"/>
        <v>1.0936695831188883E-2</v>
      </c>
      <c r="K224" s="6">
        <f t="shared" si="50"/>
        <v>-3.9079461571862789E-2</v>
      </c>
      <c r="M224" s="1" t="str">
        <f t="shared" si="47"/>
        <v>无形资产摊销(万元)</v>
      </c>
      <c r="N224" s="6">
        <f t="shared" si="43"/>
        <v>5.4394948834226131E-2</v>
      </c>
      <c r="O224" s="6">
        <f t="shared" si="44"/>
        <v>1.4823529411764707</v>
      </c>
      <c r="P224" s="6">
        <f t="shared" si="45"/>
        <v>-0.52777777777777779</v>
      </c>
      <c r="Q224" s="11"/>
    </row>
    <row r="225" spans="1:17" ht="20.25" customHeight="1" x14ac:dyDescent="0.3">
      <c r="A225" s="15" t="s">
        <v>224</v>
      </c>
      <c r="B225" s="1" t="s">
        <v>559</v>
      </c>
      <c r="C225" s="1">
        <v>256</v>
      </c>
      <c r="D225" s="1">
        <v>178</v>
      </c>
      <c r="E225" s="1">
        <v>163</v>
      </c>
      <c r="F225" s="23">
        <v>80</v>
      </c>
      <c r="H225" s="1" t="str">
        <f t="shared" si="46"/>
        <v>长期待摊费用摊销(万元)</v>
      </c>
      <c r="I225" s="6">
        <f t="shared" si="48"/>
        <v>-1.4974262985493684E-2</v>
      </c>
      <c r="J225" s="6">
        <f t="shared" si="49"/>
        <v>2.2902727740607309E-2</v>
      </c>
      <c r="K225" s="6">
        <f t="shared" si="50"/>
        <v>-3.5388623534520193E-2</v>
      </c>
      <c r="M225" s="1" t="str">
        <f t="shared" si="47"/>
        <v>长期待摊费用摊销(万元)</v>
      </c>
      <c r="N225" s="6">
        <f t="shared" si="43"/>
        <v>0.47361259945615464</v>
      </c>
      <c r="O225" s="6">
        <f t="shared" si="44"/>
        <v>0.4382022471910112</v>
      </c>
      <c r="P225" s="6">
        <f t="shared" si="45"/>
        <v>9.2024539877300526E-2</v>
      </c>
      <c r="Q225" s="11"/>
    </row>
    <row r="226" spans="1:17" ht="20.25" customHeight="1" x14ac:dyDescent="0.3">
      <c r="A226" s="15" t="s">
        <v>225</v>
      </c>
      <c r="B226" s="1" t="s">
        <v>679</v>
      </c>
      <c r="C226" s="1">
        <v>0</v>
      </c>
      <c r="D226" s="1">
        <v>0</v>
      </c>
      <c r="E226" s="1">
        <v>0</v>
      </c>
      <c r="F226" s="23">
        <v>0</v>
      </c>
      <c r="H226" s="1" t="str">
        <f t="shared" ref="H226:H251" si="51">B226</f>
        <v>待摊费用的减少(万元)</v>
      </c>
      <c r="I226" s="6">
        <f t="shared" si="48"/>
        <v>0</v>
      </c>
      <c r="J226" s="6">
        <f t="shared" si="49"/>
        <v>0</v>
      </c>
      <c r="K226" s="6">
        <f t="shared" si="50"/>
        <v>0</v>
      </c>
      <c r="M226" s="1" t="str">
        <f t="shared" ref="M226:M251" si="52">B226</f>
        <v>待摊费用的减少(万元)</v>
      </c>
      <c r="N226" s="6">
        <f t="shared" si="43"/>
        <v>0</v>
      </c>
      <c r="O226" s="6">
        <f t="shared" si="44"/>
        <v>0</v>
      </c>
      <c r="P226" s="6">
        <f t="shared" si="45"/>
        <v>0</v>
      </c>
      <c r="Q226" s="11"/>
    </row>
    <row r="227" spans="1:17" ht="20.25" customHeight="1" x14ac:dyDescent="0.3">
      <c r="A227" s="15" t="s">
        <v>226</v>
      </c>
      <c r="B227" s="1" t="s">
        <v>680</v>
      </c>
      <c r="C227" s="1">
        <v>0</v>
      </c>
      <c r="D227" s="1">
        <v>0</v>
      </c>
      <c r="E227" s="1">
        <v>0</v>
      </c>
      <c r="F227" s="23">
        <v>0</v>
      </c>
      <c r="H227" s="1" t="str">
        <f t="shared" si="51"/>
        <v>预提费用的增加(万元)</v>
      </c>
      <c r="I227" s="6">
        <f t="shared" ref="I227:I251" si="53">C227/C$187</f>
        <v>0</v>
      </c>
      <c r="J227" s="6">
        <f t="shared" ref="J227:J251" si="54">D227/D$187</f>
        <v>0</v>
      </c>
      <c r="K227" s="6">
        <f t="shared" ref="K227:K251" si="55">E227/E$187</f>
        <v>0</v>
      </c>
      <c r="M227" s="1" t="str">
        <f t="shared" si="52"/>
        <v>预提费用的增加(万元)</v>
      </c>
      <c r="N227" s="6">
        <f t="shared" si="43"/>
        <v>0</v>
      </c>
      <c r="O227" s="6">
        <f t="shared" si="44"/>
        <v>0</v>
      </c>
      <c r="P227" s="6">
        <f t="shared" si="45"/>
        <v>0</v>
      </c>
      <c r="Q227" s="11"/>
    </row>
    <row r="228" spans="1:17" ht="20.25" customHeight="1" x14ac:dyDescent="0.3">
      <c r="A228" s="15" t="s">
        <v>227</v>
      </c>
      <c r="B228" s="1" t="s">
        <v>681</v>
      </c>
      <c r="C228" s="1">
        <v>-6</v>
      </c>
      <c r="D228" s="1">
        <v>8</v>
      </c>
      <c r="E228" s="1">
        <v>127</v>
      </c>
      <c r="F228" s="23">
        <v>-12</v>
      </c>
      <c r="H228" s="1" t="str">
        <f t="shared" si="51"/>
        <v>处置固定资产、无形资产和其他长期资产的损失(万元)</v>
      </c>
      <c r="I228" s="6">
        <f t="shared" si="53"/>
        <v>3.5095928872250817E-4</v>
      </c>
      <c r="J228" s="6">
        <f t="shared" si="54"/>
        <v>1.029336078229542E-3</v>
      </c>
      <c r="K228" s="6">
        <f t="shared" si="55"/>
        <v>-2.7572731220147632E-2</v>
      </c>
      <c r="M228" s="1" t="str">
        <f t="shared" si="52"/>
        <v>处置固定资产、无形资产和其他长期资产的损失(万元)</v>
      </c>
      <c r="N228" s="6">
        <f t="shared" ref="N228:N251" si="56">IFERROR(POWER(C228/F228,1/3)-1,0)</f>
        <v>-0.20629947401590021</v>
      </c>
      <c r="O228" s="6">
        <f t="shared" ref="O228:O251" si="57">IFERROR(C228/D228-1,0)</f>
        <v>-1.75</v>
      </c>
      <c r="P228" s="6">
        <f t="shared" ref="P228:P251" si="58">IFERROR(D228/E228-1,0)</f>
        <v>-0.93700787401574803</v>
      </c>
      <c r="Q228" s="11"/>
    </row>
    <row r="229" spans="1:17" ht="20.25" customHeight="1" x14ac:dyDescent="0.3">
      <c r="A229" s="15" t="s">
        <v>228</v>
      </c>
      <c r="B229" s="1" t="s">
        <v>682</v>
      </c>
      <c r="C229" s="1">
        <v>0</v>
      </c>
      <c r="D229" s="1">
        <v>0</v>
      </c>
      <c r="E229" s="1">
        <v>0</v>
      </c>
      <c r="F229" s="23">
        <v>0</v>
      </c>
      <c r="H229" s="1" t="str">
        <f t="shared" si="51"/>
        <v>固定资产报废损失(万元)</v>
      </c>
      <c r="I229" s="6">
        <f t="shared" si="53"/>
        <v>0</v>
      </c>
      <c r="J229" s="6">
        <f t="shared" si="54"/>
        <v>0</v>
      </c>
      <c r="K229" s="6">
        <f t="shared" si="55"/>
        <v>0</v>
      </c>
      <c r="M229" s="1" t="str">
        <f t="shared" si="52"/>
        <v>固定资产报废损失(万元)</v>
      </c>
      <c r="N229" s="6">
        <f t="shared" si="56"/>
        <v>0</v>
      </c>
      <c r="O229" s="6">
        <f t="shared" si="57"/>
        <v>0</v>
      </c>
      <c r="P229" s="6">
        <f t="shared" si="58"/>
        <v>0</v>
      </c>
      <c r="Q229" s="11"/>
    </row>
    <row r="230" spans="1:17" ht="20.25" customHeight="1" x14ac:dyDescent="0.3">
      <c r="A230" s="15" t="s">
        <v>229</v>
      </c>
      <c r="B230" s="1" t="s">
        <v>683</v>
      </c>
      <c r="C230" s="1">
        <v>0</v>
      </c>
      <c r="D230" s="1">
        <v>0</v>
      </c>
      <c r="E230" s="1">
        <v>0</v>
      </c>
      <c r="F230" s="23">
        <v>0</v>
      </c>
      <c r="H230" s="1" t="str">
        <f t="shared" si="51"/>
        <v>公允价值变动损失(万元)</v>
      </c>
      <c r="I230" s="6">
        <f t="shared" si="53"/>
        <v>0</v>
      </c>
      <c r="J230" s="6">
        <f t="shared" si="54"/>
        <v>0</v>
      </c>
      <c r="K230" s="6">
        <f t="shared" si="55"/>
        <v>0</v>
      </c>
      <c r="M230" s="1" t="str">
        <f t="shared" si="52"/>
        <v>公允价值变动损失(万元)</v>
      </c>
      <c r="N230" s="6">
        <f t="shared" si="56"/>
        <v>0</v>
      </c>
      <c r="O230" s="6">
        <f t="shared" si="57"/>
        <v>0</v>
      </c>
      <c r="P230" s="6">
        <f t="shared" si="58"/>
        <v>0</v>
      </c>
      <c r="Q230" s="11"/>
    </row>
    <row r="231" spans="1:17" ht="20.25" customHeight="1" x14ac:dyDescent="0.3">
      <c r="A231" s="15" t="s">
        <v>230</v>
      </c>
      <c r="B231" s="1" t="s">
        <v>684</v>
      </c>
      <c r="C231" s="1">
        <v>0</v>
      </c>
      <c r="D231" s="1">
        <v>0</v>
      </c>
      <c r="E231" s="1">
        <v>0</v>
      </c>
      <c r="F231" s="23">
        <v>0</v>
      </c>
      <c r="H231" s="1" t="str">
        <f t="shared" si="51"/>
        <v>递延收益增加(减：减少)(万元)</v>
      </c>
      <c r="I231" s="6">
        <f t="shared" si="53"/>
        <v>0</v>
      </c>
      <c r="J231" s="6">
        <f t="shared" si="54"/>
        <v>0</v>
      </c>
      <c r="K231" s="6">
        <f t="shared" si="55"/>
        <v>0</v>
      </c>
      <c r="M231" s="1" t="str">
        <f t="shared" si="52"/>
        <v>递延收益增加(减：减少)(万元)</v>
      </c>
      <c r="N231" s="6">
        <f t="shared" si="56"/>
        <v>0</v>
      </c>
      <c r="O231" s="6">
        <f t="shared" si="57"/>
        <v>0</v>
      </c>
      <c r="P231" s="6">
        <f t="shared" si="58"/>
        <v>0</v>
      </c>
      <c r="Q231" s="11"/>
    </row>
    <row r="232" spans="1:17" ht="20.25" customHeight="1" x14ac:dyDescent="0.3">
      <c r="A232" s="15" t="s">
        <v>231</v>
      </c>
      <c r="B232" s="1" t="s">
        <v>685</v>
      </c>
      <c r="C232" s="1">
        <v>0</v>
      </c>
      <c r="D232" s="1">
        <v>0</v>
      </c>
      <c r="E232" s="1">
        <v>0</v>
      </c>
      <c r="F232" s="23">
        <v>0</v>
      </c>
      <c r="H232" s="1" t="str">
        <f t="shared" si="51"/>
        <v>预计负债(万元)</v>
      </c>
      <c r="I232" s="6">
        <f t="shared" si="53"/>
        <v>0</v>
      </c>
      <c r="J232" s="6">
        <f t="shared" si="54"/>
        <v>0</v>
      </c>
      <c r="K232" s="6">
        <f t="shared" si="55"/>
        <v>0</v>
      </c>
      <c r="M232" s="1" t="str">
        <f t="shared" si="52"/>
        <v>预计负债(万元)</v>
      </c>
      <c r="N232" s="6">
        <f t="shared" si="56"/>
        <v>0</v>
      </c>
      <c r="O232" s="6">
        <f t="shared" si="57"/>
        <v>0</v>
      </c>
      <c r="P232" s="6">
        <f t="shared" si="58"/>
        <v>0</v>
      </c>
      <c r="Q232" s="11"/>
    </row>
    <row r="233" spans="1:17" ht="20.25" customHeight="1" x14ac:dyDescent="0.3">
      <c r="A233" s="15" t="s">
        <v>232</v>
      </c>
      <c r="B233" s="1" t="s">
        <v>477</v>
      </c>
      <c r="C233" s="1">
        <v>-71</v>
      </c>
      <c r="D233" s="1">
        <v>-344</v>
      </c>
      <c r="E233" s="1">
        <v>-994</v>
      </c>
      <c r="F233" s="23">
        <v>-208</v>
      </c>
      <c r="H233" s="1" t="str">
        <f t="shared" si="51"/>
        <v>财务费用(万元)</v>
      </c>
      <c r="I233" s="6">
        <f t="shared" si="53"/>
        <v>4.1530182498830132E-3</v>
      </c>
      <c r="J233" s="6">
        <f t="shared" si="54"/>
        <v>-4.4261451363870302E-2</v>
      </c>
      <c r="K233" s="6">
        <f t="shared" si="55"/>
        <v>0.21580547112462006</v>
      </c>
      <c r="M233" s="1" t="str">
        <f t="shared" si="52"/>
        <v>财务费用(万元)</v>
      </c>
      <c r="N233" s="6">
        <f t="shared" si="56"/>
        <v>-0.30112687851617215</v>
      </c>
      <c r="O233" s="6">
        <f t="shared" si="57"/>
        <v>-0.79360465116279066</v>
      </c>
      <c r="P233" s="6">
        <f t="shared" si="58"/>
        <v>-0.65392354124748486</v>
      </c>
      <c r="Q233" s="11"/>
    </row>
    <row r="234" spans="1:17" ht="20.25" customHeight="1" x14ac:dyDescent="0.3">
      <c r="A234" s="15" t="s">
        <v>233</v>
      </c>
      <c r="B234" s="1" t="s">
        <v>686</v>
      </c>
      <c r="C234" s="1">
        <v>-1327</v>
      </c>
      <c r="D234" s="1">
        <v>-1258</v>
      </c>
      <c r="E234" s="1">
        <v>0</v>
      </c>
      <c r="F234" s="23">
        <v>-387</v>
      </c>
      <c r="H234" s="1" t="str">
        <f t="shared" si="51"/>
        <v>投资损失(万元)</v>
      </c>
      <c r="I234" s="6">
        <f t="shared" si="53"/>
        <v>7.7620496022461391E-2</v>
      </c>
      <c r="J234" s="6">
        <f t="shared" si="54"/>
        <v>-0.16186309830159548</v>
      </c>
      <c r="K234" s="6">
        <f t="shared" si="55"/>
        <v>0</v>
      </c>
      <c r="M234" s="1" t="str">
        <f t="shared" si="52"/>
        <v>投资损失(万元)</v>
      </c>
      <c r="N234" s="6">
        <f t="shared" si="56"/>
        <v>0.5079489965552233</v>
      </c>
      <c r="O234" s="6">
        <f t="shared" si="57"/>
        <v>5.4848966613672445E-2</v>
      </c>
      <c r="P234" s="6">
        <f t="shared" si="58"/>
        <v>0</v>
      </c>
      <c r="Q234" s="11"/>
    </row>
    <row r="235" spans="1:17" ht="20.25" customHeight="1" x14ac:dyDescent="0.3">
      <c r="A235" s="15" t="s">
        <v>234</v>
      </c>
      <c r="B235" s="1" t="s">
        <v>687</v>
      </c>
      <c r="C235" s="1">
        <v>-992</v>
      </c>
      <c r="D235" s="1">
        <v>84</v>
      </c>
      <c r="E235" s="1">
        <v>-277</v>
      </c>
      <c r="F235" s="23">
        <v>-17</v>
      </c>
      <c r="H235" s="1" t="str">
        <f t="shared" si="51"/>
        <v>递延所得税资产减少(万元)</v>
      </c>
      <c r="I235" s="6">
        <f t="shared" si="53"/>
        <v>5.8025269068788021E-2</v>
      </c>
      <c r="J235" s="6">
        <f t="shared" si="54"/>
        <v>1.0808028821410191E-2</v>
      </c>
      <c r="K235" s="6">
        <f t="shared" si="55"/>
        <v>6.0138949196699959E-2</v>
      </c>
      <c r="M235" s="1" t="str">
        <f t="shared" si="52"/>
        <v>递延所得税资产减少(万元)</v>
      </c>
      <c r="N235" s="6">
        <f t="shared" si="56"/>
        <v>2.8787124446856813</v>
      </c>
      <c r="O235" s="6">
        <f t="shared" si="57"/>
        <v>-12.80952380952381</v>
      </c>
      <c r="P235" s="6">
        <f t="shared" si="58"/>
        <v>-1.3032490974729241</v>
      </c>
      <c r="Q235" s="11"/>
    </row>
    <row r="236" spans="1:17" ht="20.25" customHeight="1" x14ac:dyDescent="0.3">
      <c r="A236" s="15" t="s">
        <v>235</v>
      </c>
      <c r="B236" s="1" t="s">
        <v>688</v>
      </c>
      <c r="C236" s="1">
        <v>0</v>
      </c>
      <c r="D236" s="1">
        <v>0</v>
      </c>
      <c r="E236" s="1">
        <v>0</v>
      </c>
      <c r="F236" s="23">
        <v>0</v>
      </c>
      <c r="H236" s="1" t="str">
        <f t="shared" si="51"/>
        <v>递延所得税负债增加(万元)</v>
      </c>
      <c r="I236" s="6">
        <f t="shared" si="53"/>
        <v>0</v>
      </c>
      <c r="J236" s="6">
        <f t="shared" si="54"/>
        <v>0</v>
      </c>
      <c r="K236" s="6">
        <f t="shared" si="55"/>
        <v>0</v>
      </c>
      <c r="M236" s="1" t="str">
        <f t="shared" si="52"/>
        <v>递延所得税负债增加(万元)</v>
      </c>
      <c r="N236" s="6">
        <f t="shared" si="56"/>
        <v>0</v>
      </c>
      <c r="O236" s="6">
        <f t="shared" si="57"/>
        <v>0</v>
      </c>
      <c r="P236" s="6">
        <f t="shared" si="58"/>
        <v>0</v>
      </c>
      <c r="Q236" s="11"/>
    </row>
    <row r="237" spans="1:17" ht="20.25" customHeight="1" x14ac:dyDescent="0.3">
      <c r="A237" s="15" t="s">
        <v>236</v>
      </c>
      <c r="B237" s="1" t="s">
        <v>689</v>
      </c>
      <c r="C237" s="1">
        <v>-13612</v>
      </c>
      <c r="D237" s="1">
        <v>-5427</v>
      </c>
      <c r="E237" s="1">
        <v>-8794</v>
      </c>
      <c r="F237" s="23">
        <v>4805</v>
      </c>
      <c r="H237" s="1" t="str">
        <f t="shared" si="51"/>
        <v>存货的减少(万元)</v>
      </c>
      <c r="I237" s="6">
        <f t="shared" si="53"/>
        <v>0.79620963968179692</v>
      </c>
      <c r="J237" s="6">
        <f t="shared" si="54"/>
        <v>-0.69827586206896552</v>
      </c>
      <c r="K237" s="6">
        <f t="shared" si="55"/>
        <v>1.909248805905341</v>
      </c>
      <c r="M237" s="1" t="str">
        <f t="shared" si="52"/>
        <v>存货的减少(万元)</v>
      </c>
      <c r="N237" s="6">
        <f t="shared" si="56"/>
        <v>-2.4149557210651755</v>
      </c>
      <c r="O237" s="6">
        <f t="shared" si="57"/>
        <v>1.5081997420305879</v>
      </c>
      <c r="P237" s="6">
        <f t="shared" si="58"/>
        <v>-0.38287468728678642</v>
      </c>
      <c r="Q237" s="11"/>
    </row>
    <row r="238" spans="1:17" ht="20.25" customHeight="1" x14ac:dyDescent="0.3">
      <c r="A238" s="15" t="s">
        <v>237</v>
      </c>
      <c r="B238" s="1" t="s">
        <v>690</v>
      </c>
      <c r="C238" s="1">
        <v>-1020</v>
      </c>
      <c r="D238" s="1">
        <v>5249</v>
      </c>
      <c r="E238" s="1">
        <v>-1122</v>
      </c>
      <c r="F238" s="23">
        <v>-972</v>
      </c>
      <c r="H238" s="1" t="str">
        <f t="shared" si="51"/>
        <v>经营性应收项目的减少(万元)</v>
      </c>
      <c r="I238" s="6">
        <f t="shared" si="53"/>
        <v>5.9663079082826392E-2</v>
      </c>
      <c r="J238" s="6">
        <f t="shared" si="54"/>
        <v>0.67537313432835822</v>
      </c>
      <c r="K238" s="6">
        <f t="shared" si="55"/>
        <v>0.24359531046461139</v>
      </c>
      <c r="M238" s="1" t="str">
        <f t="shared" si="52"/>
        <v>经营性应收项目的减少(万元)</v>
      </c>
      <c r="N238" s="6">
        <f t="shared" si="56"/>
        <v>1.6197141530092773E-2</v>
      </c>
      <c r="O238" s="6">
        <f t="shared" si="57"/>
        <v>-1.194322728138693</v>
      </c>
      <c r="P238" s="6">
        <f t="shared" si="58"/>
        <v>-5.6782531194295904</v>
      </c>
      <c r="Q238" s="11"/>
    </row>
    <row r="239" spans="1:17" ht="20.25" customHeight="1" x14ac:dyDescent="0.3">
      <c r="A239" s="15" t="s">
        <v>238</v>
      </c>
      <c r="B239" s="1" t="s">
        <v>691</v>
      </c>
      <c r="C239" s="1">
        <v>-14013</v>
      </c>
      <c r="D239" s="1">
        <v>-8940</v>
      </c>
      <c r="E239" s="1">
        <v>-13573</v>
      </c>
      <c r="F239" s="23">
        <v>-14234</v>
      </c>
      <c r="H239" s="1" t="str">
        <f t="shared" si="51"/>
        <v>经营性应付项目的增加(万元)</v>
      </c>
      <c r="I239" s="6">
        <f t="shared" si="53"/>
        <v>0.81966541881141786</v>
      </c>
      <c r="J239" s="6">
        <f t="shared" si="54"/>
        <v>-1.1502830674215132</v>
      </c>
      <c r="K239" s="6">
        <f t="shared" si="55"/>
        <v>2.9468085106382977</v>
      </c>
      <c r="M239" s="1" t="str">
        <f t="shared" si="52"/>
        <v>经营性应付项目的增加(万元)</v>
      </c>
      <c r="N239" s="6">
        <f t="shared" si="56"/>
        <v>-5.2024198581163139E-3</v>
      </c>
      <c r="O239" s="6">
        <f t="shared" si="57"/>
        <v>0.56744966442953015</v>
      </c>
      <c r="P239" s="6">
        <f t="shared" si="58"/>
        <v>-0.3413394238561851</v>
      </c>
      <c r="Q239" s="11"/>
    </row>
    <row r="240" spans="1:17" ht="20.25" customHeight="1" x14ac:dyDescent="0.3">
      <c r="A240" s="15" t="s">
        <v>239</v>
      </c>
      <c r="B240" s="1" t="s">
        <v>692</v>
      </c>
      <c r="C240" s="1">
        <v>0</v>
      </c>
      <c r="D240" s="1">
        <v>0</v>
      </c>
      <c r="E240" s="1">
        <v>0</v>
      </c>
      <c r="F240" s="23">
        <v>0</v>
      </c>
      <c r="H240" s="1" t="str">
        <f t="shared" si="51"/>
        <v>已完工尚未结算款的减少(减:增加)(万元)</v>
      </c>
      <c r="I240" s="6">
        <f t="shared" si="53"/>
        <v>0</v>
      </c>
      <c r="J240" s="6">
        <f t="shared" si="54"/>
        <v>0</v>
      </c>
      <c r="K240" s="6">
        <f t="shared" si="55"/>
        <v>0</v>
      </c>
      <c r="M240" s="1" t="str">
        <f t="shared" si="52"/>
        <v>已完工尚未结算款的减少(减:增加)(万元)</v>
      </c>
      <c r="N240" s="6">
        <f t="shared" si="56"/>
        <v>0</v>
      </c>
      <c r="O240" s="6">
        <f t="shared" si="57"/>
        <v>0</v>
      </c>
      <c r="P240" s="6">
        <f t="shared" si="58"/>
        <v>0</v>
      </c>
      <c r="Q240" s="11"/>
    </row>
    <row r="241" spans="1:17" ht="20.25" customHeight="1" x14ac:dyDescent="0.3">
      <c r="A241" s="15" t="s">
        <v>240</v>
      </c>
      <c r="B241" s="1" t="s">
        <v>693</v>
      </c>
      <c r="C241" s="1">
        <v>0</v>
      </c>
      <c r="D241" s="1">
        <v>0</v>
      </c>
      <c r="E241" s="1">
        <v>0</v>
      </c>
      <c r="F241" s="23">
        <v>0</v>
      </c>
      <c r="H241" s="1" t="str">
        <f t="shared" si="51"/>
        <v>已结算尚未完工款的增加(减:减少)(万元)</v>
      </c>
      <c r="I241" s="6">
        <f t="shared" si="53"/>
        <v>0</v>
      </c>
      <c r="J241" s="6">
        <f t="shared" si="54"/>
        <v>0</v>
      </c>
      <c r="K241" s="6">
        <f t="shared" si="55"/>
        <v>0</v>
      </c>
      <c r="M241" s="1" t="str">
        <f t="shared" si="52"/>
        <v>已结算尚未完工款的增加(减:减少)(万元)</v>
      </c>
      <c r="N241" s="6">
        <f t="shared" si="56"/>
        <v>0</v>
      </c>
      <c r="O241" s="6">
        <f t="shared" si="57"/>
        <v>0</v>
      </c>
      <c r="P241" s="6">
        <f t="shared" si="58"/>
        <v>0</v>
      </c>
      <c r="Q241" s="11"/>
    </row>
    <row r="242" spans="1:17" ht="20.25" customHeight="1" x14ac:dyDescent="0.3">
      <c r="A242" s="15" t="s">
        <v>241</v>
      </c>
      <c r="B242" s="1" t="s">
        <v>694</v>
      </c>
      <c r="C242" s="1">
        <v>-3743</v>
      </c>
      <c r="D242" s="1">
        <v>-740</v>
      </c>
      <c r="E242" s="1">
        <v>-542</v>
      </c>
      <c r="F242" s="23">
        <v>0</v>
      </c>
      <c r="H242" s="1" t="str">
        <f t="shared" si="51"/>
        <v>其他(万元)</v>
      </c>
      <c r="I242" s="6">
        <f t="shared" si="53"/>
        <v>0.21894010294805802</v>
      </c>
      <c r="J242" s="6">
        <f t="shared" si="54"/>
        <v>-9.5213587236232633E-2</v>
      </c>
      <c r="K242" s="6">
        <f t="shared" si="55"/>
        <v>0.11767260095527572</v>
      </c>
      <c r="M242" s="1" t="str">
        <f t="shared" si="52"/>
        <v>其他(万元)</v>
      </c>
      <c r="N242" s="6">
        <f t="shared" si="56"/>
        <v>0</v>
      </c>
      <c r="O242" s="6">
        <f t="shared" si="57"/>
        <v>4.0581081081081081</v>
      </c>
      <c r="P242" s="6">
        <f t="shared" si="58"/>
        <v>0.3653136531365313</v>
      </c>
      <c r="Q242" s="11"/>
    </row>
    <row r="243" spans="1:17" ht="20.25" customHeight="1" x14ac:dyDescent="0.3">
      <c r="A243" s="15" t="s">
        <v>242</v>
      </c>
      <c r="B243" s="1" t="s">
        <v>695</v>
      </c>
      <c r="C243" s="1">
        <v>-17096</v>
      </c>
      <c r="D243" s="1">
        <v>7772</v>
      </c>
      <c r="E243" s="1">
        <v>-4606</v>
      </c>
      <c r="F243" s="23">
        <v>6829</v>
      </c>
      <c r="H243" s="1" t="str">
        <f t="shared" si="51"/>
        <v>经营活动产生现金流量净额(万元)</v>
      </c>
      <c r="I243" s="6">
        <f t="shared" si="53"/>
        <v>1</v>
      </c>
      <c r="J243" s="6">
        <f t="shared" si="54"/>
        <v>1</v>
      </c>
      <c r="K243" s="6">
        <f t="shared" si="55"/>
        <v>1</v>
      </c>
      <c r="M243" s="1" t="str">
        <f t="shared" si="52"/>
        <v>经营活动产生现金流量净额(万元)</v>
      </c>
      <c r="N243" s="6">
        <f t="shared" si="56"/>
        <v>-2.3578312475836927</v>
      </c>
      <c r="O243" s="6">
        <f t="shared" si="57"/>
        <v>-3.1996911991765313</v>
      </c>
      <c r="P243" s="6">
        <f t="shared" si="58"/>
        <v>-2.6873643074250975</v>
      </c>
      <c r="Q243" s="11"/>
    </row>
    <row r="244" spans="1:17" ht="20.25" customHeight="1" x14ac:dyDescent="0.3">
      <c r="A244" s="15" t="s">
        <v>243</v>
      </c>
      <c r="B244" s="1" t="s">
        <v>696</v>
      </c>
      <c r="C244" s="1">
        <v>0</v>
      </c>
      <c r="D244" s="1">
        <v>0</v>
      </c>
      <c r="E244" s="1">
        <v>0</v>
      </c>
      <c r="F244" s="23">
        <v>0</v>
      </c>
      <c r="H244" s="1" t="str">
        <f t="shared" si="51"/>
        <v>债务转为资本(万元)</v>
      </c>
      <c r="I244" s="6">
        <f t="shared" si="53"/>
        <v>0</v>
      </c>
      <c r="J244" s="6">
        <f t="shared" si="54"/>
        <v>0</v>
      </c>
      <c r="K244" s="6">
        <f t="shared" si="55"/>
        <v>0</v>
      </c>
      <c r="M244" s="1" t="str">
        <f t="shared" si="52"/>
        <v>债务转为资本(万元)</v>
      </c>
      <c r="N244" s="6">
        <f t="shared" si="56"/>
        <v>0</v>
      </c>
      <c r="O244" s="6">
        <f t="shared" si="57"/>
        <v>0</v>
      </c>
      <c r="P244" s="6">
        <f t="shared" si="58"/>
        <v>0</v>
      </c>
      <c r="Q244" s="11"/>
    </row>
    <row r="245" spans="1:17" ht="20.25" customHeight="1" x14ac:dyDescent="0.3">
      <c r="A245" s="15" t="s">
        <v>244</v>
      </c>
      <c r="B245" s="1" t="s">
        <v>697</v>
      </c>
      <c r="C245" s="1">
        <v>0</v>
      </c>
      <c r="D245" s="1">
        <v>0</v>
      </c>
      <c r="E245" s="1">
        <v>0</v>
      </c>
      <c r="F245" s="23">
        <v>0</v>
      </c>
      <c r="H245" s="1" t="str">
        <f t="shared" si="51"/>
        <v>一年内到期的可转换公司债券(万元)</v>
      </c>
      <c r="I245" s="6">
        <f t="shared" si="53"/>
        <v>0</v>
      </c>
      <c r="J245" s="6">
        <f t="shared" si="54"/>
        <v>0</v>
      </c>
      <c r="K245" s="6">
        <f t="shared" si="55"/>
        <v>0</v>
      </c>
      <c r="M245" s="1" t="str">
        <f t="shared" si="52"/>
        <v>一年内到期的可转换公司债券(万元)</v>
      </c>
      <c r="N245" s="6">
        <f t="shared" si="56"/>
        <v>0</v>
      </c>
      <c r="O245" s="6">
        <f t="shared" si="57"/>
        <v>0</v>
      </c>
      <c r="P245" s="6">
        <f t="shared" si="58"/>
        <v>0</v>
      </c>
      <c r="Q245" s="11"/>
    </row>
    <row r="246" spans="1:17" ht="20.25" customHeight="1" x14ac:dyDescent="0.3">
      <c r="A246" s="15" t="s">
        <v>245</v>
      </c>
      <c r="B246" s="1" t="s">
        <v>698</v>
      </c>
      <c r="C246" s="1">
        <v>0</v>
      </c>
      <c r="D246" s="1">
        <v>0</v>
      </c>
      <c r="E246" s="1">
        <v>0</v>
      </c>
      <c r="F246" s="23">
        <v>0</v>
      </c>
      <c r="H246" s="1" t="str">
        <f t="shared" si="51"/>
        <v>融资租入固定资产(万元)</v>
      </c>
      <c r="I246" s="6">
        <f t="shared" si="53"/>
        <v>0</v>
      </c>
      <c r="J246" s="6">
        <f t="shared" si="54"/>
        <v>0</v>
      </c>
      <c r="K246" s="6">
        <f t="shared" si="55"/>
        <v>0</v>
      </c>
      <c r="M246" s="1" t="str">
        <f t="shared" si="52"/>
        <v>融资租入固定资产(万元)</v>
      </c>
      <c r="N246" s="6">
        <f t="shared" si="56"/>
        <v>0</v>
      </c>
      <c r="O246" s="6">
        <f t="shared" si="57"/>
        <v>0</v>
      </c>
      <c r="P246" s="6">
        <f t="shared" si="58"/>
        <v>0</v>
      </c>
      <c r="Q246" s="11"/>
    </row>
    <row r="247" spans="1:17" ht="20.25" customHeight="1" x14ac:dyDescent="0.3">
      <c r="A247" s="15" t="s">
        <v>246</v>
      </c>
      <c r="B247" s="1" t="s">
        <v>699</v>
      </c>
      <c r="C247" s="1">
        <v>24548</v>
      </c>
      <c r="D247" s="1">
        <v>0</v>
      </c>
      <c r="E247" s="1">
        <v>0</v>
      </c>
      <c r="F247" s="23">
        <v>0</v>
      </c>
      <c r="H247" s="1" t="str">
        <f t="shared" si="51"/>
        <v>现金的期末余额(万元)</v>
      </c>
      <c r="I247" s="6">
        <f t="shared" si="53"/>
        <v>-1.4358914365933553</v>
      </c>
      <c r="J247" s="6">
        <f t="shared" si="54"/>
        <v>0</v>
      </c>
      <c r="K247" s="6">
        <f t="shared" si="55"/>
        <v>0</v>
      </c>
      <c r="M247" s="1" t="str">
        <f t="shared" si="52"/>
        <v>现金的期末余额(万元)</v>
      </c>
      <c r="N247" s="6">
        <f t="shared" si="56"/>
        <v>0</v>
      </c>
      <c r="O247" s="6">
        <f t="shared" si="57"/>
        <v>0</v>
      </c>
      <c r="P247" s="6">
        <f t="shared" si="58"/>
        <v>0</v>
      </c>
      <c r="Q247" s="11"/>
    </row>
    <row r="248" spans="1:17" ht="20.25" customHeight="1" x14ac:dyDescent="0.3">
      <c r="A248" s="15" t="s">
        <v>247</v>
      </c>
      <c r="B248" s="1" t="s">
        <v>700</v>
      </c>
      <c r="C248" s="1">
        <v>52678</v>
      </c>
      <c r="D248" s="1">
        <v>0</v>
      </c>
      <c r="E248" s="1">
        <v>0</v>
      </c>
      <c r="F248" s="23">
        <v>0</v>
      </c>
      <c r="H248" s="1" t="str">
        <f t="shared" si="51"/>
        <v>现金的期初余额(万元)</v>
      </c>
      <c r="I248" s="6">
        <f t="shared" si="53"/>
        <v>-3.0813055685540478</v>
      </c>
      <c r="J248" s="6">
        <f t="shared" si="54"/>
        <v>0</v>
      </c>
      <c r="K248" s="6">
        <f t="shared" si="55"/>
        <v>0</v>
      </c>
      <c r="M248" s="1" t="str">
        <f t="shared" si="52"/>
        <v>现金的期初余额(万元)</v>
      </c>
      <c r="N248" s="6">
        <f t="shared" si="56"/>
        <v>0</v>
      </c>
      <c r="O248" s="6">
        <f t="shared" si="57"/>
        <v>0</v>
      </c>
      <c r="P248" s="6">
        <f t="shared" si="58"/>
        <v>0</v>
      </c>
      <c r="Q248" s="11"/>
    </row>
    <row r="249" spans="1:17" ht="20.25" customHeight="1" x14ac:dyDescent="0.3">
      <c r="A249" s="15" t="s">
        <v>248</v>
      </c>
      <c r="B249" s="1" t="s">
        <v>701</v>
      </c>
      <c r="C249" s="1">
        <v>0</v>
      </c>
      <c r="D249" s="1">
        <v>41977</v>
      </c>
      <c r="E249" s="1">
        <v>54476</v>
      </c>
      <c r="F249" s="23">
        <v>64670</v>
      </c>
      <c r="H249" s="1" t="str">
        <f t="shared" si="51"/>
        <v>现金等价物的期末余额(万元)</v>
      </c>
      <c r="I249" s="6">
        <f t="shared" si="53"/>
        <v>0</v>
      </c>
      <c r="J249" s="6">
        <f t="shared" si="54"/>
        <v>5.4010550694801855</v>
      </c>
      <c r="K249" s="6">
        <f t="shared" si="55"/>
        <v>-11.827181936604429</v>
      </c>
      <c r="M249" s="1" t="str">
        <f t="shared" si="52"/>
        <v>现金等价物的期末余额(万元)</v>
      </c>
      <c r="N249" s="6">
        <f t="shared" si="56"/>
        <v>-1</v>
      </c>
      <c r="O249" s="6">
        <f t="shared" si="57"/>
        <v>-1</v>
      </c>
      <c r="P249" s="6">
        <f t="shared" si="58"/>
        <v>-0.22944048755415225</v>
      </c>
      <c r="Q249" s="11"/>
    </row>
    <row r="250" spans="1:17" ht="20.25" customHeight="1" x14ac:dyDescent="0.3">
      <c r="A250" s="15" t="s">
        <v>249</v>
      </c>
      <c r="B250" s="1" t="s">
        <v>702</v>
      </c>
      <c r="C250" s="1">
        <v>0</v>
      </c>
      <c r="D250" s="1">
        <v>72405</v>
      </c>
      <c r="E250" s="1">
        <v>93898</v>
      </c>
      <c r="F250" s="23">
        <v>68937</v>
      </c>
      <c r="H250" s="1" t="str">
        <f t="shared" si="51"/>
        <v>现金等价物的期初余额(万元)</v>
      </c>
      <c r="I250" s="6">
        <f t="shared" si="53"/>
        <v>0</v>
      </c>
      <c r="J250" s="6">
        <f t="shared" si="54"/>
        <v>9.3161348430262478</v>
      </c>
      <c r="K250" s="6">
        <f t="shared" si="55"/>
        <v>-20.386018237082066</v>
      </c>
      <c r="M250" s="1" t="str">
        <f t="shared" si="52"/>
        <v>现金等价物的期初余额(万元)</v>
      </c>
      <c r="N250" s="6">
        <f t="shared" si="56"/>
        <v>-1</v>
      </c>
      <c r="O250" s="6">
        <f t="shared" si="57"/>
        <v>-1</v>
      </c>
      <c r="P250" s="6">
        <f t="shared" si="58"/>
        <v>-0.2288973141067967</v>
      </c>
      <c r="Q250" s="11"/>
    </row>
    <row r="251" spans="1:17" ht="20.25" customHeight="1" x14ac:dyDescent="0.3">
      <c r="A251" s="15" t="s">
        <v>250</v>
      </c>
      <c r="B251" s="1" t="s">
        <v>703</v>
      </c>
      <c r="C251" s="1">
        <v>-28131</v>
      </c>
      <c r="D251" s="1">
        <v>-30428</v>
      </c>
      <c r="E251" s="1">
        <v>-39422</v>
      </c>
      <c r="F251" s="23">
        <v>-4267</v>
      </c>
      <c r="H251" s="1" t="str">
        <f t="shared" si="51"/>
        <v>现金及现金等价物的净增加额(万元)</v>
      </c>
      <c r="I251" s="6">
        <f t="shared" si="53"/>
        <v>1.6454726251754797</v>
      </c>
      <c r="J251" s="6">
        <f t="shared" si="54"/>
        <v>-3.9150797735460627</v>
      </c>
      <c r="K251" s="6">
        <f t="shared" si="55"/>
        <v>8.5588363004776387</v>
      </c>
      <c r="M251" s="1" t="str">
        <f t="shared" si="52"/>
        <v>现金及现金等价物的净增加额(万元)</v>
      </c>
      <c r="N251" s="6">
        <f t="shared" si="56"/>
        <v>0.87508449479915784</v>
      </c>
      <c r="O251" s="6">
        <f t="shared" si="57"/>
        <v>-7.5489680557381367E-2</v>
      </c>
      <c r="P251" s="6">
        <f t="shared" si="58"/>
        <v>-0.22814672010552484</v>
      </c>
      <c r="Q251" s="11"/>
    </row>
    <row r="252" spans="1:17" ht="20.25" customHeight="1" x14ac:dyDescent="0.3"/>
    <row r="253" spans="1:17" x14ac:dyDescent="0.3"/>
    <row r="254" spans="1:17" x14ac:dyDescent="0.3"/>
  </sheetData>
  <mergeCells count="9">
    <mergeCell ref="M2:P2"/>
    <mergeCell ref="M113:P113"/>
    <mergeCell ref="M161:P161"/>
    <mergeCell ref="B2:E2"/>
    <mergeCell ref="B113:E113"/>
    <mergeCell ref="B161:E161"/>
    <mergeCell ref="H113:K113"/>
    <mergeCell ref="H2:K2"/>
    <mergeCell ref="H161:K16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38</vt:i4>
      </vt:variant>
    </vt:vector>
  </HeadingPairs>
  <TitlesOfParts>
    <vt:vector size="45" baseType="lpstr">
      <vt:lpstr>Command</vt:lpstr>
      <vt:lpstr>valuation</vt:lpstr>
      <vt:lpstr>Analysis</vt:lpstr>
      <vt:lpstr>Quaterly</vt:lpstr>
      <vt:lpstr>QauterlyA</vt:lpstr>
      <vt:lpstr>Introduction</vt:lpstr>
      <vt:lpstr>Source</vt:lpstr>
      <vt:lpstr>bs_Q1</vt:lpstr>
      <vt:lpstr>bs_Q2</vt:lpstr>
      <vt:lpstr>bs_Q3</vt:lpstr>
      <vt:lpstr>bs_Q4</vt:lpstr>
      <vt:lpstr>Source!bsa</vt:lpstr>
      <vt:lpstr>bsa_content_1</vt:lpstr>
      <vt:lpstr>bsa_content_2</vt:lpstr>
      <vt:lpstr>bsa_header_1</vt:lpstr>
      <vt:lpstr>Source!bsi</vt:lpstr>
      <vt:lpstr>Source!bsp</vt:lpstr>
      <vt:lpstr>cf_Q1</vt:lpstr>
      <vt:lpstr>cf_Q2</vt:lpstr>
      <vt:lpstr>cf_Q3</vt:lpstr>
      <vt:lpstr>cf_Q4</vt:lpstr>
      <vt:lpstr>Source!cfa</vt:lpstr>
      <vt:lpstr>Source!cfi</vt:lpstr>
      <vt:lpstr>Source!cfp</vt:lpstr>
      <vt:lpstr>is_Q1</vt:lpstr>
      <vt:lpstr>is_Q2</vt:lpstr>
      <vt:lpstr>is_Q3</vt:lpstr>
      <vt:lpstr>is_Q4</vt:lpstr>
      <vt:lpstr>Source!isa</vt:lpstr>
      <vt:lpstr>Source!isi</vt:lpstr>
      <vt:lpstr>Source!isp</vt:lpstr>
      <vt:lpstr>LatestPrice</vt:lpstr>
      <vt:lpstr>LTP</vt:lpstr>
      <vt:lpstr>MarketCap</vt:lpstr>
      <vt:lpstr>O_Growth1</vt:lpstr>
      <vt:lpstr>O_Growth2</vt:lpstr>
      <vt:lpstr>PB</vt:lpstr>
      <vt:lpstr>PE_LYR</vt:lpstr>
      <vt:lpstr>PE_TTM</vt:lpstr>
      <vt:lpstr>Period</vt:lpstr>
      <vt:lpstr>RPTYPE</vt:lpstr>
      <vt:lpstr>Shares</vt:lpstr>
      <vt:lpstr>Status</vt:lpstr>
      <vt:lpstr>StockCode</vt:lpstr>
      <vt:lpstr>StockName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Fc</dc:creator>
  <cp:lastModifiedBy>冯晓天</cp:lastModifiedBy>
  <cp:lastPrinted>2017-02-26T12:20:18Z</cp:lastPrinted>
  <dcterms:created xsi:type="dcterms:W3CDTF">2016-12-23T02:49:21Z</dcterms:created>
  <dcterms:modified xsi:type="dcterms:W3CDTF">2017-08-29T13:19:44Z</dcterms:modified>
</cp:coreProperties>
</file>